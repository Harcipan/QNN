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Kornel\Egyetem\QNN\qiskit\data\"/>
    </mc:Choice>
  </mc:AlternateContent>
  <xr:revisionPtr revIDLastSave="0" documentId="13_ncr:1_{BE0A45D2-1E5D-4FD0-8F9C-382058EDE144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8qbit_200iter" sheetId="5" r:id="rId1"/>
    <sheet name="8qbit_50iter" sheetId="4" r:id="rId2"/>
    <sheet name="16qbit_40iter" sheetId="7" r:id="rId3"/>
    <sheet name="Summary" sheetId="8" r:id="rId4"/>
    <sheet name="Graphs" sheetId="9" r:id="rId5"/>
    <sheet name="Sheet3" sheetId="10" r:id="rId6"/>
  </sheets>
  <definedNames>
    <definedName name="ExternalData_3" localSheetId="1" hidden="1">'8qbit_50iter'!$A$1:$I$51</definedName>
    <definedName name="ExternalData_4" localSheetId="0" hidden="1">'8qbit_200iter'!$A$1:$I$51</definedName>
    <definedName name="ExternalData_5" localSheetId="2" hidden="1">'16qbit_40iter'!$A$1:$J$4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8" l="1"/>
  <c r="I7" i="8"/>
  <c r="J5" i="8"/>
  <c r="I5" i="8"/>
  <c r="G7" i="8"/>
  <c r="F7" i="8"/>
  <c r="G5" i="8"/>
  <c r="F5" i="8"/>
  <c r="D7" i="8"/>
  <c r="C7" i="8"/>
  <c r="D5" i="8"/>
  <c r="C5" i="8"/>
  <c r="D7" i="7"/>
  <c r="C7" i="7"/>
  <c r="D5" i="7"/>
  <c r="C5" i="7"/>
  <c r="D54" i="4"/>
  <c r="C54" i="4"/>
  <c r="D52" i="4"/>
  <c r="C52" i="4"/>
  <c r="C52" i="5"/>
  <c r="D54" i="5"/>
  <c r="C54" i="5"/>
  <c r="D5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B83126-288C-4C5E-8884-C5F1F6AFC2F7}" keepAlive="1" name="Query - qcnn_sweep_16q" description="Connection to the 'qcnn_sweep_16q' query in the workbook." type="5" refreshedVersion="8" background="1" saveData="1">
    <dbPr connection="Provider=Microsoft.Mashup.OleDb.1;Data Source=$Workbook$;Location=qcnn_sweep_16q;Extended Properties=&quot;&quot;" command="SELECT * FROM [qcnn_sweep_16q]"/>
  </connection>
  <connection id="2" xr16:uid="{7E371675-7948-4B33-9DB9-E98C6D59569B}" keepAlive="1" name="Query - sc_fi" description="Connection to the 'sc_fi' query in the workbook." type="5" refreshedVersion="8" background="1" saveData="1">
    <dbPr connection="Provider=Microsoft.Mashup.OleDb.1;Data Source=$Workbook$;Location=sc_fi;Extended Properties=&quot;&quot;" command="SELECT * FROM [sc_fi]"/>
  </connection>
  <connection id="3" xr16:uid="{3F4A5861-6A94-4388-910C-CED753751B91}" keepAlive="1" name="Query - sc_fi (2)" description="Connection to the 'sc_fi (2)' query in the workbook." type="5" refreshedVersion="8" background="1" saveData="1">
    <dbPr connection="Provider=Microsoft.Mashup.OleDb.1;Data Source=$Workbook$;Location=&quot;sc_fi (2)&quot;;Extended Properties=&quot;&quot;" command="SELECT * FROM [sc_fi (2)]"/>
  </connection>
  <connection id="4" xr16:uid="{78DD8760-47EF-407A-AEFE-4FC91F7EF997}" keepAlive="1" name="Query - sc_fi (3)" description="Connection to the 'sc_fi (3)' query in the workbook." type="5" refreshedVersion="0" background="1">
    <dbPr connection="Provider=Microsoft.Mashup.OleDb.1;Data Source=$Workbook$;Location=&quot;sc_fi (3)&quot;;Extended Properties=&quot;&quot;" command="SELECT * FROM [sc_fi (3)]"/>
  </connection>
  <connection id="5" xr16:uid="{CA739896-74F1-4111-BBBB-799AB70EAD4F}" keepAlive="1" name="Query - sc_hi" description="Connection to the 'sc_hi' query in the workbook." type="5" refreshedVersion="8" background="1" saveData="1">
    <dbPr connection="Provider=Microsoft.Mashup.OleDb.1;Data Source=$Workbook$;Location=sc_hi;Extended Properties=&quot;&quot;" command="SELECT * FROM [sc_hi]"/>
  </connection>
  <connection id="6" xr16:uid="{E9D1BE28-8F0C-42C8-926E-11A6C87EA0FB}" keepAlive="1" name="Query - sc_li" description="Connection to the 'sc_li' query in the workbook." type="5" refreshedVersion="8" background="1" saveData="1">
    <dbPr connection="Provider=Microsoft.Mashup.OleDb.1;Data Source=$Workbook$;Location=sc_li;Extended Properties=&quot;&quot;" command="SELECT * FROM [sc_li]"/>
  </connection>
</connections>
</file>

<file path=xl/sharedStrings.xml><?xml version="1.0" encoding="utf-8"?>
<sst xmlns="http://schemas.openxmlformats.org/spreadsheetml/2006/main" count="152" uniqueCount="27">
  <si>
    <t>trial</t>
  </si>
  <si>
    <t>seed</t>
  </si>
  <si>
    <t>train_acc</t>
  </si>
  <si>
    <t>test_acc</t>
  </si>
  <si>
    <t>num_images</t>
  </si>
  <si>
    <t>maxiter</t>
  </si>
  <si>
    <t>vary_dataset</t>
  </si>
  <si>
    <t>vary_split</t>
  </si>
  <si>
    <t>optimizer</t>
  </si>
  <si>
    <t>COBYLA</t>
  </si>
  <si>
    <t>n_qubits</t>
  </si>
  <si>
    <t>Std Dev</t>
  </si>
  <si>
    <t>Avg</t>
  </si>
  <si>
    <t>n_qbits</t>
  </si>
  <si>
    <t>50 iter</t>
  </si>
  <si>
    <t>200 iter</t>
  </si>
  <si>
    <t>St Dev</t>
  </si>
  <si>
    <t>Very slow</t>
  </si>
  <si>
    <t>Very very slow</t>
  </si>
  <si>
    <t>medium</t>
  </si>
  <si>
    <t>fast</t>
  </si>
  <si>
    <t>Time w classical sim</t>
  </si>
  <si>
    <t>200iter</t>
  </si>
  <si>
    <t>50iter</t>
  </si>
  <si>
    <t>50iter16q</t>
  </si>
  <si>
    <t>Trial 1: train=0.527, test=0.507</t>
  </si>
  <si>
    <t>(dataset, n_qubits=4, n_trials=1, maxiter=200)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</si>
</sst>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1" fillId="3" borderId="1" xfId="0" applyFont="1" applyFill="1" applyBorder="1"/>
    <xf numFmtId="0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Graphs!$A$1</c:f>
              <c:strCache>
                <c:ptCount val="1"/>
                <c:pt idx="0">
                  <c:v>200iter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Graphs!$A$2:$A$51</c:f>
              <c:numCache>
                <c:formatCode>General</c:formatCode>
                <c:ptCount val="50"/>
                <c:pt idx="0">
                  <c:v>0.68571428571428572</c:v>
                </c:pt>
                <c:pt idx="1">
                  <c:v>0.8</c:v>
                </c:pt>
                <c:pt idx="2">
                  <c:v>0.68571428571428572</c:v>
                </c:pt>
                <c:pt idx="3">
                  <c:v>0.77142857142857146</c:v>
                </c:pt>
                <c:pt idx="4">
                  <c:v>0.77142857142857146</c:v>
                </c:pt>
                <c:pt idx="5">
                  <c:v>0.8571428571428571</c:v>
                </c:pt>
                <c:pt idx="6">
                  <c:v>0.8</c:v>
                </c:pt>
                <c:pt idx="7">
                  <c:v>0.88571428571428568</c:v>
                </c:pt>
                <c:pt idx="8">
                  <c:v>0.8571428571428571</c:v>
                </c:pt>
                <c:pt idx="9">
                  <c:v>0.8571428571428571</c:v>
                </c:pt>
                <c:pt idx="10">
                  <c:v>0.8</c:v>
                </c:pt>
                <c:pt idx="11">
                  <c:v>0.7142857142857143</c:v>
                </c:pt>
                <c:pt idx="12">
                  <c:v>0.74285714285714288</c:v>
                </c:pt>
                <c:pt idx="13">
                  <c:v>0.91428571428571426</c:v>
                </c:pt>
                <c:pt idx="14">
                  <c:v>0.8</c:v>
                </c:pt>
                <c:pt idx="15">
                  <c:v>0.91428571428571426</c:v>
                </c:pt>
                <c:pt idx="16">
                  <c:v>0.77142857142857146</c:v>
                </c:pt>
                <c:pt idx="17">
                  <c:v>0.97142857142857142</c:v>
                </c:pt>
                <c:pt idx="18">
                  <c:v>0.88571428571428568</c:v>
                </c:pt>
                <c:pt idx="19">
                  <c:v>0.8</c:v>
                </c:pt>
                <c:pt idx="20">
                  <c:v>0.82857142857142863</c:v>
                </c:pt>
                <c:pt idx="21">
                  <c:v>0.7142857142857143</c:v>
                </c:pt>
                <c:pt idx="22">
                  <c:v>0.68571428571428572</c:v>
                </c:pt>
                <c:pt idx="23">
                  <c:v>0.91428571428571426</c:v>
                </c:pt>
                <c:pt idx="24">
                  <c:v>0.82857142857142863</c:v>
                </c:pt>
                <c:pt idx="25">
                  <c:v>0.82857142857142863</c:v>
                </c:pt>
                <c:pt idx="26">
                  <c:v>0.88571428571428568</c:v>
                </c:pt>
                <c:pt idx="27">
                  <c:v>0.7142857142857143</c:v>
                </c:pt>
                <c:pt idx="28">
                  <c:v>0.74285714285714288</c:v>
                </c:pt>
                <c:pt idx="29">
                  <c:v>0.74285714285714288</c:v>
                </c:pt>
                <c:pt idx="30">
                  <c:v>0.65714285714285714</c:v>
                </c:pt>
                <c:pt idx="31">
                  <c:v>0.77142857142857146</c:v>
                </c:pt>
                <c:pt idx="32">
                  <c:v>0.8571428571428571</c:v>
                </c:pt>
                <c:pt idx="33">
                  <c:v>0.77142857142857146</c:v>
                </c:pt>
                <c:pt idx="34">
                  <c:v>0.68571428571428572</c:v>
                </c:pt>
                <c:pt idx="35">
                  <c:v>0.77142857142857146</c:v>
                </c:pt>
                <c:pt idx="36">
                  <c:v>0.94285714285714284</c:v>
                </c:pt>
                <c:pt idx="37">
                  <c:v>0.8</c:v>
                </c:pt>
                <c:pt idx="38">
                  <c:v>0.8</c:v>
                </c:pt>
                <c:pt idx="39">
                  <c:v>0.88571428571428568</c:v>
                </c:pt>
                <c:pt idx="40">
                  <c:v>0.82857142857142863</c:v>
                </c:pt>
                <c:pt idx="41">
                  <c:v>0.82857142857142863</c:v>
                </c:pt>
                <c:pt idx="42">
                  <c:v>0.74285714285714288</c:v>
                </c:pt>
                <c:pt idx="43">
                  <c:v>0.74285714285714288</c:v>
                </c:pt>
                <c:pt idx="44">
                  <c:v>0.77142857142857146</c:v>
                </c:pt>
                <c:pt idx="45">
                  <c:v>0.65714285714285714</c:v>
                </c:pt>
                <c:pt idx="46">
                  <c:v>0.7142857142857143</c:v>
                </c:pt>
                <c:pt idx="47">
                  <c:v>0.82857142857142863</c:v>
                </c:pt>
                <c:pt idx="48">
                  <c:v>0.97142857142857142</c:v>
                </c:pt>
                <c:pt idx="49">
                  <c:v>0.8571428571428571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69-46F5-A8FD-9F7AE5ED926C}"/>
            </c:ext>
          </c:extLst>
        </c:ser>
        <c:ser>
          <c:idx val="1"/>
          <c:order val="1"/>
          <c:tx>
            <c:strRef>
              <c:f>Graphs!$D$1</c:f>
              <c:strCache>
                <c:ptCount val="1"/>
                <c:pt idx="0">
                  <c:v>50iter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Graphs!$D$2:$D$51</c:f>
              <c:numCache>
                <c:formatCode>General</c:formatCode>
                <c:ptCount val="50"/>
                <c:pt idx="0">
                  <c:v>0.6</c:v>
                </c:pt>
                <c:pt idx="1">
                  <c:v>0.7142857142857143</c:v>
                </c:pt>
                <c:pt idx="2">
                  <c:v>0.8571428571428571</c:v>
                </c:pt>
                <c:pt idx="3">
                  <c:v>0.7142857142857143</c:v>
                </c:pt>
                <c:pt idx="4">
                  <c:v>0.7142857142857143</c:v>
                </c:pt>
                <c:pt idx="5">
                  <c:v>0.74285714285714288</c:v>
                </c:pt>
                <c:pt idx="6">
                  <c:v>0.5714285714285714</c:v>
                </c:pt>
                <c:pt idx="7">
                  <c:v>0.51428571428571423</c:v>
                </c:pt>
                <c:pt idx="8">
                  <c:v>0.8571428571428571</c:v>
                </c:pt>
                <c:pt idx="9">
                  <c:v>0.5714285714285714</c:v>
                </c:pt>
                <c:pt idx="10">
                  <c:v>0.6</c:v>
                </c:pt>
                <c:pt idx="11">
                  <c:v>0.54285714285714282</c:v>
                </c:pt>
                <c:pt idx="12">
                  <c:v>0.6</c:v>
                </c:pt>
                <c:pt idx="13">
                  <c:v>0.51428571428571423</c:v>
                </c:pt>
                <c:pt idx="14">
                  <c:v>0.77142857142857146</c:v>
                </c:pt>
                <c:pt idx="15">
                  <c:v>0.8571428571428571</c:v>
                </c:pt>
                <c:pt idx="16">
                  <c:v>0.5714285714285714</c:v>
                </c:pt>
                <c:pt idx="17">
                  <c:v>0.91428571428571426</c:v>
                </c:pt>
                <c:pt idx="18">
                  <c:v>0.77142857142857146</c:v>
                </c:pt>
                <c:pt idx="19">
                  <c:v>0.48571428571428571</c:v>
                </c:pt>
                <c:pt idx="20">
                  <c:v>0.74285714285714288</c:v>
                </c:pt>
                <c:pt idx="21">
                  <c:v>0.8</c:v>
                </c:pt>
                <c:pt idx="22">
                  <c:v>0.7142857142857143</c:v>
                </c:pt>
                <c:pt idx="23">
                  <c:v>0.6</c:v>
                </c:pt>
                <c:pt idx="24">
                  <c:v>0.74285714285714288</c:v>
                </c:pt>
                <c:pt idx="25">
                  <c:v>0.48571428571428571</c:v>
                </c:pt>
                <c:pt idx="26">
                  <c:v>0.88571428571428568</c:v>
                </c:pt>
                <c:pt idx="27">
                  <c:v>0.68571428571428572</c:v>
                </c:pt>
                <c:pt idx="28">
                  <c:v>0.6</c:v>
                </c:pt>
                <c:pt idx="29">
                  <c:v>0.8</c:v>
                </c:pt>
                <c:pt idx="30">
                  <c:v>0.74285714285714288</c:v>
                </c:pt>
                <c:pt idx="31">
                  <c:v>0.65714285714285714</c:v>
                </c:pt>
                <c:pt idx="32">
                  <c:v>0.74285714285714288</c:v>
                </c:pt>
                <c:pt idx="33">
                  <c:v>0.68571428571428572</c:v>
                </c:pt>
                <c:pt idx="34">
                  <c:v>0.51428571428571423</c:v>
                </c:pt>
                <c:pt idx="35">
                  <c:v>0.7142857142857143</c:v>
                </c:pt>
                <c:pt idx="36">
                  <c:v>0.74285714285714288</c:v>
                </c:pt>
                <c:pt idx="37">
                  <c:v>0.7142857142857143</c:v>
                </c:pt>
                <c:pt idx="38">
                  <c:v>0.8</c:v>
                </c:pt>
                <c:pt idx="39">
                  <c:v>0.8</c:v>
                </c:pt>
                <c:pt idx="40">
                  <c:v>0.8571428571428571</c:v>
                </c:pt>
                <c:pt idx="41">
                  <c:v>0.6</c:v>
                </c:pt>
                <c:pt idx="42">
                  <c:v>0.37142857142857144</c:v>
                </c:pt>
                <c:pt idx="43">
                  <c:v>0.74285714285714288</c:v>
                </c:pt>
                <c:pt idx="44">
                  <c:v>0.7142857142857143</c:v>
                </c:pt>
                <c:pt idx="45">
                  <c:v>0.62857142857142856</c:v>
                </c:pt>
                <c:pt idx="46">
                  <c:v>0.65714285714285714</c:v>
                </c:pt>
                <c:pt idx="47">
                  <c:v>0.65714285714285714</c:v>
                </c:pt>
                <c:pt idx="48">
                  <c:v>0.65714285714285714</c:v>
                </c:pt>
                <c:pt idx="49">
                  <c:v>0.62857142857142856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69-46F5-A8FD-9F7AE5ED926C}"/>
            </c:ext>
          </c:extLst>
        </c:ser>
        <c:ser>
          <c:idx val="2"/>
          <c:order val="2"/>
          <c:tx>
            <c:strRef>
              <c:f>Graphs!$G$1</c:f>
              <c:strCache>
                <c:ptCount val="1"/>
                <c:pt idx="0">
                  <c:v>50iter16q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Graphs!$G$2:$G$51</c:f>
              <c:numCache>
                <c:formatCode>General</c:formatCode>
                <c:ptCount val="50"/>
                <c:pt idx="0">
                  <c:v>0.52142857142857146</c:v>
                </c:pt>
                <c:pt idx="1">
                  <c:v>0.5714285714285714</c:v>
                </c:pt>
                <c:pt idx="2">
                  <c:v>0.63571428571428568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69-46F5-A8FD-9F7AE5ED9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09920"/>
        <c:axId val="83210880"/>
      </c:lineChart>
      <c:catAx>
        <c:axId val="83209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10880"/>
        <c:crosses val="autoZero"/>
        <c:auto val="1"/>
        <c:lblAlgn val="ctr"/>
        <c:lblOffset val="100"/>
        <c:noMultiLvlLbl val="0"/>
      </c:catAx>
      <c:valAx>
        <c:axId val="832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0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85724</xdr:colOff>
      <xdr:row>3</xdr:row>
      <xdr:rowOff>104775</xdr:rowOff>
    </xdr:from>
    <xdr:to>
      <xdr:col>18</xdr:col>
      <xdr:colOff>228599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F3831E-50FC-8CE3-35AD-6F39A3B64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5F76BA9B-71D7-44D8-8044-02EBB1803263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trial" tableColumnId="1"/>
      <queryTableField id="2" name="seed" tableColumnId="2"/>
      <queryTableField id="3" name="train_acc" tableColumnId="3"/>
      <queryTableField id="4" name="test_acc" tableColumnId="4"/>
      <queryTableField id="5" name="num_images" tableColumnId="5"/>
      <queryTableField id="6" name="maxiter" tableColumnId="6"/>
      <queryTableField id="7" name="vary_dataset" tableColumnId="7"/>
      <queryTableField id="8" name="vary_split" tableColumnId="8"/>
      <queryTableField id="9" name="optimizer" tableColumnId="9"/>
      <queryTableField id="10" dataBound="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E623AD99-6BA8-43C4-8DF7-414C5CC09CE5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trial" tableColumnId="1"/>
      <queryTableField id="2" name="seed" tableColumnId="2"/>
      <queryTableField id="3" name="train_acc" tableColumnId="3"/>
      <queryTableField id="4" name="test_acc" tableColumnId="4"/>
      <queryTableField id="5" name="num_images" tableColumnId="5"/>
      <queryTableField id="6" name="maxiter" tableColumnId="6"/>
      <queryTableField id="7" name="vary_dataset" tableColumnId="7"/>
      <queryTableField id="8" name="vary_split" tableColumnId="8"/>
      <queryTableField id="9" name="optimizer" tableColumnId="9"/>
      <queryTableField id="10" dataBound="0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7CF9F921-5CA3-4337-A1C9-5B2B676DD59F}" autoFormatId="16" applyNumberFormats="0" applyBorderFormats="0" applyFontFormats="0" applyPatternFormats="0" applyAlignmentFormats="0" applyWidthHeightFormats="0">
  <queryTableRefresh nextId="11">
    <queryTableFields count="10">
      <queryTableField id="1" name="trial" tableColumnId="1"/>
      <queryTableField id="2" name="seed" tableColumnId="2"/>
      <queryTableField id="3" name="train_acc" tableColumnId="3"/>
      <queryTableField id="4" name="test_acc" tableColumnId="4"/>
      <queryTableField id="5" name="n_qubits" tableColumnId="5"/>
      <queryTableField id="6" name="num_images" tableColumnId="6"/>
      <queryTableField id="7" name="maxiter" tableColumnId="7"/>
      <queryTableField id="8" name="vary_dataset" tableColumnId="8"/>
      <queryTableField id="9" name="vary_split" tableColumnId="9"/>
      <queryTableField id="10" name="optimizer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99C096-2D03-4258-ABBD-FC17F8C79FD3}" name="sc_hi" displayName="sc_hi" ref="A1:J52" tableType="queryTable" totalsRowCount="1">
  <autoFilter ref="A1:J51" xr:uid="{1499C096-2D03-4258-ABBD-FC17F8C79FD3}"/>
  <tableColumns count="10">
    <tableColumn id="1" xr3:uid="{F01C99B6-307B-4976-960C-BE8D1EF6DC20}" uniqueName="1" name="trial" queryTableFieldId="1"/>
    <tableColumn id="2" xr3:uid="{A9587315-5D4F-4D57-8B3A-B509B2C88060}" uniqueName="2" name="seed" queryTableFieldId="2"/>
    <tableColumn id="3" xr3:uid="{BB4D9853-A823-4D67-AF8A-0F83EAA34523}" uniqueName="3" name="train_acc" totalsRowFunction="custom" queryTableFieldId="3">
      <totalsRowFormula>AVERAGE(sc_hi[train_acc])</totalsRowFormula>
    </tableColumn>
    <tableColumn id="4" xr3:uid="{93FFA23A-EE5D-4662-AD6F-D19E77230AE2}" uniqueName="4" name="test_acc" totalsRowFunction="custom" queryTableFieldId="4">
      <totalsRowFormula>AVERAGE(sc_hi[test_acc])</totalsRowFormula>
    </tableColumn>
    <tableColumn id="5" xr3:uid="{E418D3A3-0FE6-4097-9DAD-B5FE685A8711}" uniqueName="5" name="num_images" queryTableFieldId="5"/>
    <tableColumn id="6" xr3:uid="{60520E6B-9115-4D8F-9648-5FE204FCC115}" uniqueName="6" name="maxiter" queryTableFieldId="6"/>
    <tableColumn id="7" xr3:uid="{C7655234-B1F8-4C77-916F-12E8916D2B24}" uniqueName="7" name="vary_dataset" queryTableFieldId="7"/>
    <tableColumn id="8" xr3:uid="{98F9D62F-2889-47B8-A797-A177F532529F}" uniqueName="8" name="vary_split" queryTableFieldId="8"/>
    <tableColumn id="9" xr3:uid="{301F0599-D70F-4318-98E7-A6D84CD17A5A}" uniqueName="9" name="optimizer" queryTableFieldId="9" dataDxfId="3"/>
    <tableColumn id="10" xr3:uid="{D70AD72F-29C8-498A-8659-973C0611F741}" uniqueName="10" name="n_qbits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7F5E1F-0B04-4A53-B21A-5D1DEF8A77A8}" name="sc_li" displayName="sc_li" ref="A1:J51" tableType="queryTable" totalsRowShown="0">
  <autoFilter ref="A1:J51" xr:uid="{067F5E1F-0B04-4A53-B21A-5D1DEF8A77A8}"/>
  <tableColumns count="10">
    <tableColumn id="1" xr3:uid="{0A033549-68BF-4918-971F-D92B83B3C104}" uniqueName="1" name="trial" queryTableFieldId="1"/>
    <tableColumn id="2" xr3:uid="{0844BB29-3850-493E-B687-CD2BBDDFD3E0}" uniqueName="2" name="seed" queryTableFieldId="2"/>
    <tableColumn id="3" xr3:uid="{38D6EF13-7527-4A97-9158-A6FE6B4C5B30}" uniqueName="3" name="train_acc" queryTableFieldId="3"/>
    <tableColumn id="4" xr3:uid="{74015E8E-E735-49FC-BC78-96D952DE2FF1}" uniqueName="4" name="test_acc" queryTableFieldId="4"/>
    <tableColumn id="5" xr3:uid="{A88A953E-4670-4375-AF68-92E9B8863841}" uniqueName="5" name="num_images" queryTableFieldId="5"/>
    <tableColumn id="6" xr3:uid="{BA030A6B-1EA4-40C1-AA1B-237921BB056C}" uniqueName="6" name="maxiter" queryTableFieldId="6"/>
    <tableColumn id="7" xr3:uid="{83729455-E720-4542-AF8F-AF0350A1677C}" uniqueName="7" name="vary_dataset" queryTableFieldId="7"/>
    <tableColumn id="8" xr3:uid="{1ACFE27A-B201-4F31-BF27-639C8C480B14}" uniqueName="8" name="vary_split" queryTableFieldId="8"/>
    <tableColumn id="9" xr3:uid="{1B990E18-AF88-4246-A4A1-D149F1C3FF91}" uniqueName="9" name="optimizer" queryTableFieldId="9" dataDxfId="2"/>
    <tableColumn id="10" xr3:uid="{9EB21CB1-10B6-4A14-A3CF-68D206CD91B1}" uniqueName="10" name="n_qbits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1C2E7B-70A0-4AD1-873A-F5829DF7B10F}" name="qcnn_sweep_16q" displayName="qcnn_sweep_16q" ref="A1:J5" tableType="queryTable" totalsRowCount="1">
  <autoFilter ref="A1:J4" xr:uid="{4E1C2E7B-70A0-4AD1-873A-F5829DF7B10F}"/>
  <tableColumns count="10">
    <tableColumn id="1" xr3:uid="{9BA050D8-3457-4019-AAA1-D77F660D97BC}" uniqueName="1" name="trial" queryTableFieldId="1"/>
    <tableColumn id="2" xr3:uid="{114F9F18-7DA5-4A44-AE3B-7075CFD53EA4}" uniqueName="2" name="seed" totalsRowLabel="Avg" queryTableFieldId="2"/>
    <tableColumn id="3" xr3:uid="{ECF82FCB-571A-48F0-BDAE-301BE4544549}" uniqueName="3" name="train_acc" totalsRowFunction="custom" queryTableFieldId="3">
      <totalsRowFormula>AVERAGE(qcnn_sweep_16q[train_acc])</totalsRowFormula>
    </tableColumn>
    <tableColumn id="4" xr3:uid="{C8D6A5F3-BFF5-4CA5-8F36-C40B2F35E191}" uniqueName="4" name="test_acc" totalsRowFunction="custom" queryTableFieldId="4">
      <totalsRowFormula>AVERAGE(qcnn_sweep_16q[test_acc])</totalsRowFormula>
    </tableColumn>
    <tableColumn id="5" xr3:uid="{8CE7486E-D6EE-4A0F-A7EA-AA4501F453C1}" uniqueName="5" name="n_qubits" queryTableFieldId="5"/>
    <tableColumn id="6" xr3:uid="{9783F2C7-D65F-4A17-82FD-DEE438386FC4}" uniqueName="6" name="num_images" queryTableFieldId="6"/>
    <tableColumn id="7" xr3:uid="{7D8EE2D8-29C7-4D44-8932-8BD7D364FD97}" uniqueName="7" name="maxiter" queryTableFieldId="7"/>
    <tableColumn id="8" xr3:uid="{72834596-4276-485C-9A88-9A56DB213734}" uniqueName="8" name="vary_dataset" queryTableFieldId="8"/>
    <tableColumn id="9" xr3:uid="{637ACE90-EE1C-4A3B-86E0-F8EC61F756D9}" uniqueName="9" name="vary_split" queryTableFieldId="9"/>
    <tableColumn id="10" xr3:uid="{84E9A877-259F-4583-B7E6-8569903330C1}" uniqueName="10" name="optimizer" queryTableFieldId="10" dataDxfId="1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4390-4EE3-43BA-8ADA-3FDF4BAAD5C7}">
  <dimension ref="A1:J54"/>
  <sheetViews>
    <sheetView topLeftCell="A32" zoomScale="150" zoomScaleNormal="150" workbookViewId="0">
      <selection activeCell="C1" sqref="C1:D51"/>
    </sheetView>
  </sheetViews>
  <sheetFormatPr defaultRowHeight="15" x14ac:dyDescent="0.25"/>
  <cols>
    <col min="1" max="1" width="6.85546875" bestFit="1" customWidth="1"/>
    <col min="2" max="2" width="7.5703125" bestFit="1" customWidth="1"/>
    <col min="3" max="4" width="12" bestFit="1" customWidth="1"/>
    <col min="5" max="5" width="14.5703125" bestFit="1" customWidth="1"/>
    <col min="6" max="6" width="10.140625" bestFit="1" customWidth="1"/>
    <col min="7" max="7" width="14.5703125" bestFit="1" customWidth="1"/>
    <col min="8" max="9" width="11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</v>
      </c>
    </row>
    <row r="2" spans="1:10" x14ac:dyDescent="0.25">
      <c r="A2">
        <v>1</v>
      </c>
      <c r="B2">
        <v>10000</v>
      </c>
      <c r="C2">
        <v>0.68571428571428572</v>
      </c>
      <c r="D2">
        <v>0.73333333333333328</v>
      </c>
      <c r="E2">
        <v>50</v>
      </c>
      <c r="F2">
        <v>200</v>
      </c>
      <c r="G2" t="b">
        <v>1</v>
      </c>
      <c r="H2" t="b">
        <v>1</v>
      </c>
      <c r="I2" t="s">
        <v>9</v>
      </c>
      <c r="J2">
        <v>8</v>
      </c>
    </row>
    <row r="3" spans="1:10" x14ac:dyDescent="0.25">
      <c r="A3">
        <v>2</v>
      </c>
      <c r="B3">
        <v>10001</v>
      </c>
      <c r="C3">
        <v>0.8</v>
      </c>
      <c r="D3">
        <v>0.73333333333333328</v>
      </c>
      <c r="E3">
        <v>50</v>
      </c>
      <c r="F3">
        <v>200</v>
      </c>
      <c r="G3" t="b">
        <v>1</v>
      </c>
      <c r="H3" t="b">
        <v>1</v>
      </c>
      <c r="I3" t="s">
        <v>9</v>
      </c>
      <c r="J3">
        <v>8</v>
      </c>
    </row>
    <row r="4" spans="1:10" x14ac:dyDescent="0.25">
      <c r="A4">
        <v>3</v>
      </c>
      <c r="B4">
        <v>10002</v>
      </c>
      <c r="C4">
        <v>0.68571428571428572</v>
      </c>
      <c r="D4">
        <v>0.73333333333333328</v>
      </c>
      <c r="E4">
        <v>50</v>
      </c>
      <c r="F4">
        <v>200</v>
      </c>
      <c r="G4" t="b">
        <v>1</v>
      </c>
      <c r="H4" t="b">
        <v>1</v>
      </c>
      <c r="I4" t="s">
        <v>9</v>
      </c>
      <c r="J4">
        <v>8</v>
      </c>
    </row>
    <row r="5" spans="1:10" x14ac:dyDescent="0.25">
      <c r="A5">
        <v>4</v>
      </c>
      <c r="B5">
        <v>10003</v>
      </c>
      <c r="C5">
        <v>0.77142857142857146</v>
      </c>
      <c r="D5">
        <v>0.53333333333333333</v>
      </c>
      <c r="E5">
        <v>50</v>
      </c>
      <c r="F5">
        <v>200</v>
      </c>
      <c r="G5" t="b">
        <v>1</v>
      </c>
      <c r="H5" t="b">
        <v>1</v>
      </c>
      <c r="I5" t="s">
        <v>9</v>
      </c>
      <c r="J5">
        <v>8</v>
      </c>
    </row>
    <row r="6" spans="1:10" x14ac:dyDescent="0.25">
      <c r="A6">
        <v>5</v>
      </c>
      <c r="B6">
        <v>10004</v>
      </c>
      <c r="C6">
        <v>0.77142857142857146</v>
      </c>
      <c r="D6">
        <v>0.73333333333333328</v>
      </c>
      <c r="E6">
        <v>50</v>
      </c>
      <c r="F6">
        <v>200</v>
      </c>
      <c r="G6" t="b">
        <v>1</v>
      </c>
      <c r="H6" t="b">
        <v>1</v>
      </c>
      <c r="I6" t="s">
        <v>9</v>
      </c>
      <c r="J6">
        <v>8</v>
      </c>
    </row>
    <row r="7" spans="1:10" x14ac:dyDescent="0.25">
      <c r="A7">
        <v>6</v>
      </c>
      <c r="B7">
        <v>10005</v>
      </c>
      <c r="C7">
        <v>0.8571428571428571</v>
      </c>
      <c r="D7">
        <v>0.73333333333333328</v>
      </c>
      <c r="E7">
        <v>50</v>
      </c>
      <c r="F7">
        <v>200</v>
      </c>
      <c r="G7" t="b">
        <v>1</v>
      </c>
      <c r="H7" t="b">
        <v>1</v>
      </c>
      <c r="I7" t="s">
        <v>9</v>
      </c>
      <c r="J7">
        <v>8</v>
      </c>
    </row>
    <row r="8" spans="1:10" x14ac:dyDescent="0.25">
      <c r="A8">
        <v>7</v>
      </c>
      <c r="B8">
        <v>10006</v>
      </c>
      <c r="C8">
        <v>0.8</v>
      </c>
      <c r="D8">
        <v>0.66666666666666663</v>
      </c>
      <c r="E8">
        <v>50</v>
      </c>
      <c r="F8">
        <v>200</v>
      </c>
      <c r="G8" t="b">
        <v>1</v>
      </c>
      <c r="H8" t="b">
        <v>1</v>
      </c>
      <c r="I8" t="s">
        <v>9</v>
      </c>
      <c r="J8">
        <v>8</v>
      </c>
    </row>
    <row r="9" spans="1:10" x14ac:dyDescent="0.25">
      <c r="A9">
        <v>8</v>
      </c>
      <c r="B9">
        <v>10007</v>
      </c>
      <c r="C9">
        <v>0.88571428571428568</v>
      </c>
      <c r="D9">
        <v>0.93333333333333335</v>
      </c>
      <c r="E9">
        <v>50</v>
      </c>
      <c r="F9">
        <v>200</v>
      </c>
      <c r="G9" t="b">
        <v>1</v>
      </c>
      <c r="H9" t="b">
        <v>1</v>
      </c>
      <c r="I9" t="s">
        <v>9</v>
      </c>
      <c r="J9">
        <v>8</v>
      </c>
    </row>
    <row r="10" spans="1:10" x14ac:dyDescent="0.25">
      <c r="A10">
        <v>9</v>
      </c>
      <c r="B10">
        <v>10008</v>
      </c>
      <c r="C10">
        <v>0.8571428571428571</v>
      </c>
      <c r="D10">
        <v>0.53333333333333333</v>
      </c>
      <c r="E10">
        <v>50</v>
      </c>
      <c r="F10">
        <v>200</v>
      </c>
      <c r="G10" t="b">
        <v>1</v>
      </c>
      <c r="H10" t="b">
        <v>1</v>
      </c>
      <c r="I10" t="s">
        <v>9</v>
      </c>
      <c r="J10">
        <v>8</v>
      </c>
    </row>
    <row r="11" spans="1:10" x14ac:dyDescent="0.25">
      <c r="A11">
        <v>10</v>
      </c>
      <c r="B11">
        <v>10009</v>
      </c>
      <c r="C11">
        <v>0.8571428571428571</v>
      </c>
      <c r="D11">
        <v>0.73333333333333328</v>
      </c>
      <c r="E11">
        <v>50</v>
      </c>
      <c r="F11">
        <v>200</v>
      </c>
      <c r="G11" t="b">
        <v>1</v>
      </c>
      <c r="H11" t="b">
        <v>1</v>
      </c>
      <c r="I11" t="s">
        <v>9</v>
      </c>
      <c r="J11">
        <v>8</v>
      </c>
    </row>
    <row r="12" spans="1:10" x14ac:dyDescent="0.25">
      <c r="A12">
        <v>11</v>
      </c>
      <c r="B12">
        <v>10010</v>
      </c>
      <c r="C12">
        <v>0.8</v>
      </c>
      <c r="D12">
        <v>0.8666666666666667</v>
      </c>
      <c r="E12">
        <v>50</v>
      </c>
      <c r="F12">
        <v>200</v>
      </c>
      <c r="G12" t="b">
        <v>1</v>
      </c>
      <c r="H12" t="b">
        <v>1</v>
      </c>
      <c r="I12" t="s">
        <v>9</v>
      </c>
      <c r="J12">
        <v>8</v>
      </c>
    </row>
    <row r="13" spans="1:10" x14ac:dyDescent="0.25">
      <c r="A13">
        <v>12</v>
      </c>
      <c r="B13">
        <v>10011</v>
      </c>
      <c r="C13">
        <v>0.7142857142857143</v>
      </c>
      <c r="D13">
        <v>0.53333333333333333</v>
      </c>
      <c r="E13">
        <v>50</v>
      </c>
      <c r="F13">
        <v>200</v>
      </c>
      <c r="G13" t="b">
        <v>1</v>
      </c>
      <c r="H13" t="b">
        <v>1</v>
      </c>
      <c r="I13" t="s">
        <v>9</v>
      </c>
      <c r="J13">
        <v>8</v>
      </c>
    </row>
    <row r="14" spans="1:10" x14ac:dyDescent="0.25">
      <c r="A14">
        <v>13</v>
      </c>
      <c r="B14">
        <v>10012</v>
      </c>
      <c r="C14">
        <v>0.74285714285714288</v>
      </c>
      <c r="D14">
        <v>0.46666666666666667</v>
      </c>
      <c r="E14">
        <v>50</v>
      </c>
      <c r="F14">
        <v>200</v>
      </c>
      <c r="G14" t="b">
        <v>1</v>
      </c>
      <c r="H14" t="b">
        <v>1</v>
      </c>
      <c r="I14" t="s">
        <v>9</v>
      </c>
      <c r="J14">
        <v>8</v>
      </c>
    </row>
    <row r="15" spans="1:10" x14ac:dyDescent="0.25">
      <c r="A15">
        <v>14</v>
      </c>
      <c r="B15">
        <v>10013</v>
      </c>
      <c r="C15">
        <v>0.91428571428571426</v>
      </c>
      <c r="D15">
        <v>0.73333333333333328</v>
      </c>
      <c r="E15">
        <v>50</v>
      </c>
      <c r="F15">
        <v>200</v>
      </c>
      <c r="G15" t="b">
        <v>1</v>
      </c>
      <c r="H15" t="b">
        <v>1</v>
      </c>
      <c r="I15" t="s">
        <v>9</v>
      </c>
      <c r="J15">
        <v>8</v>
      </c>
    </row>
    <row r="16" spans="1:10" x14ac:dyDescent="0.25">
      <c r="A16">
        <v>15</v>
      </c>
      <c r="B16">
        <v>10014</v>
      </c>
      <c r="C16">
        <v>0.8</v>
      </c>
      <c r="D16">
        <v>0.66666666666666663</v>
      </c>
      <c r="E16">
        <v>50</v>
      </c>
      <c r="F16">
        <v>200</v>
      </c>
      <c r="G16" t="b">
        <v>1</v>
      </c>
      <c r="H16" t="b">
        <v>1</v>
      </c>
      <c r="I16" t="s">
        <v>9</v>
      </c>
      <c r="J16">
        <v>8</v>
      </c>
    </row>
    <row r="17" spans="1:10" x14ac:dyDescent="0.25">
      <c r="A17">
        <v>16</v>
      </c>
      <c r="B17">
        <v>10015</v>
      </c>
      <c r="C17">
        <v>0.91428571428571426</v>
      </c>
      <c r="D17">
        <v>0.8</v>
      </c>
      <c r="E17">
        <v>50</v>
      </c>
      <c r="F17">
        <v>200</v>
      </c>
      <c r="G17" t="b">
        <v>1</v>
      </c>
      <c r="H17" t="b">
        <v>1</v>
      </c>
      <c r="I17" t="s">
        <v>9</v>
      </c>
      <c r="J17">
        <v>8</v>
      </c>
    </row>
    <row r="18" spans="1:10" x14ac:dyDescent="0.25">
      <c r="A18">
        <v>17</v>
      </c>
      <c r="B18">
        <v>10016</v>
      </c>
      <c r="C18">
        <v>0.77142857142857146</v>
      </c>
      <c r="D18">
        <v>0.8</v>
      </c>
      <c r="E18">
        <v>50</v>
      </c>
      <c r="F18">
        <v>200</v>
      </c>
      <c r="G18" t="b">
        <v>1</v>
      </c>
      <c r="H18" t="b">
        <v>1</v>
      </c>
      <c r="I18" t="s">
        <v>9</v>
      </c>
      <c r="J18">
        <v>8</v>
      </c>
    </row>
    <row r="19" spans="1:10" x14ac:dyDescent="0.25">
      <c r="A19">
        <v>18</v>
      </c>
      <c r="B19">
        <v>10017</v>
      </c>
      <c r="C19">
        <v>0.97142857142857142</v>
      </c>
      <c r="D19">
        <v>0.73333333333333328</v>
      </c>
      <c r="E19">
        <v>50</v>
      </c>
      <c r="F19">
        <v>200</v>
      </c>
      <c r="G19" t="b">
        <v>1</v>
      </c>
      <c r="H19" t="b">
        <v>1</v>
      </c>
      <c r="I19" t="s">
        <v>9</v>
      </c>
      <c r="J19">
        <v>8</v>
      </c>
    </row>
    <row r="20" spans="1:10" x14ac:dyDescent="0.25">
      <c r="A20">
        <v>19</v>
      </c>
      <c r="B20">
        <v>10018</v>
      </c>
      <c r="C20">
        <v>0.88571428571428568</v>
      </c>
      <c r="D20">
        <v>0.66666666666666663</v>
      </c>
      <c r="E20">
        <v>50</v>
      </c>
      <c r="F20">
        <v>200</v>
      </c>
      <c r="G20" t="b">
        <v>1</v>
      </c>
      <c r="H20" t="b">
        <v>1</v>
      </c>
      <c r="I20" t="s">
        <v>9</v>
      </c>
      <c r="J20">
        <v>8</v>
      </c>
    </row>
    <row r="21" spans="1:10" x14ac:dyDescent="0.25">
      <c r="A21">
        <v>20</v>
      </c>
      <c r="B21">
        <v>10019</v>
      </c>
      <c r="C21">
        <v>0.8</v>
      </c>
      <c r="D21">
        <v>0.8666666666666667</v>
      </c>
      <c r="E21">
        <v>50</v>
      </c>
      <c r="F21">
        <v>200</v>
      </c>
      <c r="G21" t="b">
        <v>1</v>
      </c>
      <c r="H21" t="b">
        <v>1</v>
      </c>
      <c r="I21" t="s">
        <v>9</v>
      </c>
      <c r="J21">
        <v>8</v>
      </c>
    </row>
    <row r="22" spans="1:10" x14ac:dyDescent="0.25">
      <c r="A22">
        <v>21</v>
      </c>
      <c r="B22">
        <v>10020</v>
      </c>
      <c r="C22">
        <v>0.82857142857142863</v>
      </c>
      <c r="D22">
        <v>0.73333333333333328</v>
      </c>
      <c r="E22">
        <v>50</v>
      </c>
      <c r="F22">
        <v>200</v>
      </c>
      <c r="G22" t="b">
        <v>1</v>
      </c>
      <c r="H22" t="b">
        <v>1</v>
      </c>
      <c r="I22" t="s">
        <v>9</v>
      </c>
      <c r="J22">
        <v>8</v>
      </c>
    </row>
    <row r="23" spans="1:10" x14ac:dyDescent="0.25">
      <c r="A23">
        <v>22</v>
      </c>
      <c r="B23">
        <v>10021</v>
      </c>
      <c r="C23">
        <v>0.7142857142857143</v>
      </c>
      <c r="D23">
        <v>0.66666666666666663</v>
      </c>
      <c r="E23">
        <v>50</v>
      </c>
      <c r="F23">
        <v>200</v>
      </c>
      <c r="G23" t="b">
        <v>1</v>
      </c>
      <c r="H23" t="b">
        <v>1</v>
      </c>
      <c r="I23" t="s">
        <v>9</v>
      </c>
      <c r="J23">
        <v>8</v>
      </c>
    </row>
    <row r="24" spans="1:10" x14ac:dyDescent="0.25">
      <c r="A24">
        <v>23</v>
      </c>
      <c r="B24">
        <v>10022</v>
      </c>
      <c r="C24">
        <v>0.68571428571428572</v>
      </c>
      <c r="D24">
        <v>0.93333333333333335</v>
      </c>
      <c r="E24">
        <v>50</v>
      </c>
      <c r="F24">
        <v>200</v>
      </c>
      <c r="G24" t="b">
        <v>1</v>
      </c>
      <c r="H24" t="b">
        <v>1</v>
      </c>
      <c r="I24" t="s">
        <v>9</v>
      </c>
      <c r="J24">
        <v>8</v>
      </c>
    </row>
    <row r="25" spans="1:10" x14ac:dyDescent="0.25">
      <c r="A25">
        <v>24</v>
      </c>
      <c r="B25">
        <v>10023</v>
      </c>
      <c r="C25">
        <v>0.91428571428571426</v>
      </c>
      <c r="D25">
        <v>0.8</v>
      </c>
      <c r="E25">
        <v>50</v>
      </c>
      <c r="F25">
        <v>200</v>
      </c>
      <c r="G25" t="b">
        <v>1</v>
      </c>
      <c r="H25" t="b">
        <v>1</v>
      </c>
      <c r="I25" t="s">
        <v>9</v>
      </c>
      <c r="J25">
        <v>8</v>
      </c>
    </row>
    <row r="26" spans="1:10" x14ac:dyDescent="0.25">
      <c r="A26">
        <v>25</v>
      </c>
      <c r="B26">
        <v>10024</v>
      </c>
      <c r="C26">
        <v>0.82857142857142863</v>
      </c>
      <c r="D26">
        <v>0.8666666666666667</v>
      </c>
      <c r="E26">
        <v>50</v>
      </c>
      <c r="F26">
        <v>200</v>
      </c>
      <c r="G26" t="b">
        <v>1</v>
      </c>
      <c r="H26" t="b">
        <v>1</v>
      </c>
      <c r="I26" t="s">
        <v>9</v>
      </c>
      <c r="J26">
        <v>8</v>
      </c>
    </row>
    <row r="27" spans="1:10" x14ac:dyDescent="0.25">
      <c r="A27">
        <v>26</v>
      </c>
      <c r="B27">
        <v>10025</v>
      </c>
      <c r="C27">
        <v>0.82857142857142863</v>
      </c>
      <c r="D27">
        <v>0.66666666666666663</v>
      </c>
      <c r="E27">
        <v>50</v>
      </c>
      <c r="F27">
        <v>200</v>
      </c>
      <c r="G27" t="b">
        <v>1</v>
      </c>
      <c r="H27" t="b">
        <v>1</v>
      </c>
      <c r="I27" t="s">
        <v>9</v>
      </c>
      <c r="J27">
        <v>8</v>
      </c>
    </row>
    <row r="28" spans="1:10" x14ac:dyDescent="0.25">
      <c r="A28">
        <v>27</v>
      </c>
      <c r="B28">
        <v>10026</v>
      </c>
      <c r="C28">
        <v>0.88571428571428568</v>
      </c>
      <c r="D28">
        <v>0.73333333333333328</v>
      </c>
      <c r="E28">
        <v>50</v>
      </c>
      <c r="F28">
        <v>200</v>
      </c>
      <c r="G28" t="b">
        <v>1</v>
      </c>
      <c r="H28" t="b">
        <v>1</v>
      </c>
      <c r="I28" t="s">
        <v>9</v>
      </c>
      <c r="J28">
        <v>8</v>
      </c>
    </row>
    <row r="29" spans="1:10" x14ac:dyDescent="0.25">
      <c r="A29">
        <v>28</v>
      </c>
      <c r="B29">
        <v>10027</v>
      </c>
      <c r="C29">
        <v>0.7142857142857143</v>
      </c>
      <c r="D29">
        <v>0.46666666666666667</v>
      </c>
      <c r="E29">
        <v>50</v>
      </c>
      <c r="F29">
        <v>200</v>
      </c>
      <c r="G29" t="b">
        <v>1</v>
      </c>
      <c r="H29" t="b">
        <v>1</v>
      </c>
      <c r="I29" t="s">
        <v>9</v>
      </c>
      <c r="J29">
        <v>8</v>
      </c>
    </row>
    <row r="30" spans="1:10" x14ac:dyDescent="0.25">
      <c r="A30">
        <v>29</v>
      </c>
      <c r="B30">
        <v>10028</v>
      </c>
      <c r="C30">
        <v>0.74285714285714288</v>
      </c>
      <c r="D30">
        <v>0.46666666666666667</v>
      </c>
      <c r="E30">
        <v>50</v>
      </c>
      <c r="F30">
        <v>200</v>
      </c>
      <c r="G30" t="b">
        <v>1</v>
      </c>
      <c r="H30" t="b">
        <v>1</v>
      </c>
      <c r="I30" t="s">
        <v>9</v>
      </c>
      <c r="J30">
        <v>8</v>
      </c>
    </row>
    <row r="31" spans="1:10" x14ac:dyDescent="0.25">
      <c r="A31">
        <v>30</v>
      </c>
      <c r="B31">
        <v>10029</v>
      </c>
      <c r="C31">
        <v>0.74285714285714288</v>
      </c>
      <c r="D31">
        <v>0.66666666666666663</v>
      </c>
      <c r="E31">
        <v>50</v>
      </c>
      <c r="F31">
        <v>200</v>
      </c>
      <c r="G31" t="b">
        <v>1</v>
      </c>
      <c r="H31" t="b">
        <v>1</v>
      </c>
      <c r="I31" t="s">
        <v>9</v>
      </c>
      <c r="J31">
        <v>8</v>
      </c>
    </row>
    <row r="32" spans="1:10" x14ac:dyDescent="0.25">
      <c r="A32">
        <v>31</v>
      </c>
      <c r="B32">
        <v>10030</v>
      </c>
      <c r="C32">
        <v>0.65714285714285714</v>
      </c>
      <c r="D32">
        <v>0.46666666666666667</v>
      </c>
      <c r="E32">
        <v>50</v>
      </c>
      <c r="F32">
        <v>200</v>
      </c>
      <c r="G32" t="b">
        <v>1</v>
      </c>
      <c r="H32" t="b">
        <v>1</v>
      </c>
      <c r="I32" t="s">
        <v>9</v>
      </c>
      <c r="J32">
        <v>8</v>
      </c>
    </row>
    <row r="33" spans="1:10" x14ac:dyDescent="0.25">
      <c r="A33">
        <v>32</v>
      </c>
      <c r="B33">
        <v>10031</v>
      </c>
      <c r="C33">
        <v>0.77142857142857146</v>
      </c>
      <c r="D33">
        <v>0.93333333333333335</v>
      </c>
      <c r="E33">
        <v>50</v>
      </c>
      <c r="F33">
        <v>200</v>
      </c>
      <c r="G33" t="b">
        <v>1</v>
      </c>
      <c r="H33" t="b">
        <v>1</v>
      </c>
      <c r="I33" t="s">
        <v>9</v>
      </c>
      <c r="J33">
        <v>8</v>
      </c>
    </row>
    <row r="34" spans="1:10" x14ac:dyDescent="0.25">
      <c r="A34">
        <v>33</v>
      </c>
      <c r="B34">
        <v>10032</v>
      </c>
      <c r="C34">
        <v>0.8571428571428571</v>
      </c>
      <c r="D34">
        <v>0.73333333333333328</v>
      </c>
      <c r="E34">
        <v>50</v>
      </c>
      <c r="F34">
        <v>200</v>
      </c>
      <c r="G34" t="b">
        <v>1</v>
      </c>
      <c r="H34" t="b">
        <v>1</v>
      </c>
      <c r="I34" t="s">
        <v>9</v>
      </c>
      <c r="J34">
        <v>8</v>
      </c>
    </row>
    <row r="35" spans="1:10" x14ac:dyDescent="0.25">
      <c r="A35">
        <v>34</v>
      </c>
      <c r="B35">
        <v>10033</v>
      </c>
      <c r="C35">
        <v>0.77142857142857146</v>
      </c>
      <c r="D35">
        <v>0.8666666666666667</v>
      </c>
      <c r="E35">
        <v>50</v>
      </c>
      <c r="F35">
        <v>200</v>
      </c>
      <c r="G35" t="b">
        <v>1</v>
      </c>
      <c r="H35" t="b">
        <v>1</v>
      </c>
      <c r="I35" t="s">
        <v>9</v>
      </c>
      <c r="J35">
        <v>8</v>
      </c>
    </row>
    <row r="36" spans="1:10" x14ac:dyDescent="0.25">
      <c r="A36">
        <v>35</v>
      </c>
      <c r="B36">
        <v>10034</v>
      </c>
      <c r="C36">
        <v>0.68571428571428572</v>
      </c>
      <c r="D36">
        <v>0.53333333333333333</v>
      </c>
      <c r="E36">
        <v>50</v>
      </c>
      <c r="F36">
        <v>200</v>
      </c>
      <c r="G36" t="b">
        <v>1</v>
      </c>
      <c r="H36" t="b">
        <v>1</v>
      </c>
      <c r="I36" t="s">
        <v>9</v>
      </c>
      <c r="J36">
        <v>8</v>
      </c>
    </row>
    <row r="37" spans="1:10" x14ac:dyDescent="0.25">
      <c r="A37">
        <v>36</v>
      </c>
      <c r="B37">
        <v>10035</v>
      </c>
      <c r="C37">
        <v>0.77142857142857146</v>
      </c>
      <c r="D37">
        <v>0.8666666666666667</v>
      </c>
      <c r="E37">
        <v>50</v>
      </c>
      <c r="F37">
        <v>200</v>
      </c>
      <c r="G37" t="b">
        <v>1</v>
      </c>
      <c r="H37" t="b">
        <v>1</v>
      </c>
      <c r="I37" t="s">
        <v>9</v>
      </c>
      <c r="J37">
        <v>8</v>
      </c>
    </row>
    <row r="38" spans="1:10" x14ac:dyDescent="0.25">
      <c r="A38">
        <v>37</v>
      </c>
      <c r="B38">
        <v>10036</v>
      </c>
      <c r="C38">
        <v>0.94285714285714284</v>
      </c>
      <c r="D38">
        <v>0.8666666666666667</v>
      </c>
      <c r="E38">
        <v>50</v>
      </c>
      <c r="F38">
        <v>200</v>
      </c>
      <c r="G38" t="b">
        <v>1</v>
      </c>
      <c r="H38" t="b">
        <v>1</v>
      </c>
      <c r="I38" t="s">
        <v>9</v>
      </c>
      <c r="J38">
        <v>8</v>
      </c>
    </row>
    <row r="39" spans="1:10" x14ac:dyDescent="0.25">
      <c r="A39">
        <v>38</v>
      </c>
      <c r="B39">
        <v>10037</v>
      </c>
      <c r="C39">
        <v>0.8</v>
      </c>
      <c r="D39">
        <v>0.66666666666666663</v>
      </c>
      <c r="E39">
        <v>50</v>
      </c>
      <c r="F39">
        <v>200</v>
      </c>
      <c r="G39" t="b">
        <v>1</v>
      </c>
      <c r="H39" t="b">
        <v>1</v>
      </c>
      <c r="I39" t="s">
        <v>9</v>
      </c>
      <c r="J39">
        <v>8</v>
      </c>
    </row>
    <row r="40" spans="1:10" x14ac:dyDescent="0.25">
      <c r="A40">
        <v>39</v>
      </c>
      <c r="B40">
        <v>10038</v>
      </c>
      <c r="C40">
        <v>0.8</v>
      </c>
      <c r="D40">
        <v>0.73333333333333328</v>
      </c>
      <c r="E40">
        <v>50</v>
      </c>
      <c r="F40">
        <v>200</v>
      </c>
      <c r="G40" t="b">
        <v>1</v>
      </c>
      <c r="H40" t="b">
        <v>1</v>
      </c>
      <c r="I40" t="s">
        <v>9</v>
      </c>
      <c r="J40">
        <v>8</v>
      </c>
    </row>
    <row r="41" spans="1:10" x14ac:dyDescent="0.25">
      <c r="A41">
        <v>40</v>
      </c>
      <c r="B41">
        <v>10039</v>
      </c>
      <c r="C41">
        <v>0.88571428571428568</v>
      </c>
      <c r="D41">
        <v>0.8</v>
      </c>
      <c r="E41">
        <v>50</v>
      </c>
      <c r="F41">
        <v>200</v>
      </c>
      <c r="G41" t="b">
        <v>1</v>
      </c>
      <c r="H41" t="b">
        <v>1</v>
      </c>
      <c r="I41" t="s">
        <v>9</v>
      </c>
      <c r="J41">
        <v>8</v>
      </c>
    </row>
    <row r="42" spans="1:10" x14ac:dyDescent="0.25">
      <c r="A42">
        <v>41</v>
      </c>
      <c r="B42">
        <v>10040</v>
      </c>
      <c r="C42">
        <v>0.82857142857142863</v>
      </c>
      <c r="D42">
        <v>0.8</v>
      </c>
      <c r="E42">
        <v>50</v>
      </c>
      <c r="F42">
        <v>200</v>
      </c>
      <c r="G42" t="b">
        <v>1</v>
      </c>
      <c r="H42" t="b">
        <v>1</v>
      </c>
      <c r="I42" t="s">
        <v>9</v>
      </c>
      <c r="J42">
        <v>8</v>
      </c>
    </row>
    <row r="43" spans="1:10" x14ac:dyDescent="0.25">
      <c r="A43">
        <v>42</v>
      </c>
      <c r="B43">
        <v>10041</v>
      </c>
      <c r="C43">
        <v>0.82857142857142863</v>
      </c>
      <c r="D43">
        <v>0.8666666666666667</v>
      </c>
      <c r="E43">
        <v>50</v>
      </c>
      <c r="F43">
        <v>200</v>
      </c>
      <c r="G43" t="b">
        <v>1</v>
      </c>
      <c r="H43" t="b">
        <v>1</v>
      </c>
      <c r="I43" t="s">
        <v>9</v>
      </c>
      <c r="J43">
        <v>8</v>
      </c>
    </row>
    <row r="44" spans="1:10" x14ac:dyDescent="0.25">
      <c r="A44">
        <v>43</v>
      </c>
      <c r="B44">
        <v>10042</v>
      </c>
      <c r="C44">
        <v>0.74285714285714288</v>
      </c>
      <c r="D44">
        <v>0.66666666666666663</v>
      </c>
      <c r="E44">
        <v>50</v>
      </c>
      <c r="F44">
        <v>200</v>
      </c>
      <c r="G44" t="b">
        <v>1</v>
      </c>
      <c r="H44" t="b">
        <v>1</v>
      </c>
      <c r="I44" t="s">
        <v>9</v>
      </c>
      <c r="J44">
        <v>8</v>
      </c>
    </row>
    <row r="45" spans="1:10" x14ac:dyDescent="0.25">
      <c r="A45">
        <v>44</v>
      </c>
      <c r="B45">
        <v>10043</v>
      </c>
      <c r="C45">
        <v>0.74285714285714288</v>
      </c>
      <c r="D45">
        <v>0.73333333333333328</v>
      </c>
      <c r="E45">
        <v>50</v>
      </c>
      <c r="F45">
        <v>200</v>
      </c>
      <c r="G45" t="b">
        <v>1</v>
      </c>
      <c r="H45" t="b">
        <v>1</v>
      </c>
      <c r="I45" t="s">
        <v>9</v>
      </c>
      <c r="J45">
        <v>8</v>
      </c>
    </row>
    <row r="46" spans="1:10" x14ac:dyDescent="0.25">
      <c r="A46">
        <v>45</v>
      </c>
      <c r="B46">
        <v>10044</v>
      </c>
      <c r="C46">
        <v>0.77142857142857146</v>
      </c>
      <c r="D46">
        <v>0.6</v>
      </c>
      <c r="E46">
        <v>50</v>
      </c>
      <c r="F46">
        <v>200</v>
      </c>
      <c r="G46" t="b">
        <v>1</v>
      </c>
      <c r="H46" t="b">
        <v>1</v>
      </c>
      <c r="I46" t="s">
        <v>9</v>
      </c>
      <c r="J46">
        <v>8</v>
      </c>
    </row>
    <row r="47" spans="1:10" x14ac:dyDescent="0.25">
      <c r="A47">
        <v>46</v>
      </c>
      <c r="B47">
        <v>10045</v>
      </c>
      <c r="C47">
        <v>0.65714285714285714</v>
      </c>
      <c r="D47">
        <v>0.66666666666666663</v>
      </c>
      <c r="E47">
        <v>50</v>
      </c>
      <c r="F47">
        <v>200</v>
      </c>
      <c r="G47" t="b">
        <v>1</v>
      </c>
      <c r="H47" t="b">
        <v>1</v>
      </c>
      <c r="I47" t="s">
        <v>9</v>
      </c>
      <c r="J47">
        <v>8</v>
      </c>
    </row>
    <row r="48" spans="1:10" x14ac:dyDescent="0.25">
      <c r="A48">
        <v>47</v>
      </c>
      <c r="B48">
        <v>10046</v>
      </c>
      <c r="C48">
        <v>0.7142857142857143</v>
      </c>
      <c r="D48">
        <v>0.66666666666666663</v>
      </c>
      <c r="E48">
        <v>50</v>
      </c>
      <c r="F48">
        <v>200</v>
      </c>
      <c r="G48" t="b">
        <v>1</v>
      </c>
      <c r="H48" t="b">
        <v>1</v>
      </c>
      <c r="I48" t="s">
        <v>9</v>
      </c>
      <c r="J48">
        <v>8</v>
      </c>
    </row>
    <row r="49" spans="1:10" x14ac:dyDescent="0.25">
      <c r="A49">
        <v>48</v>
      </c>
      <c r="B49">
        <v>10047</v>
      </c>
      <c r="C49">
        <v>0.82857142857142863</v>
      </c>
      <c r="D49">
        <v>0.6</v>
      </c>
      <c r="E49">
        <v>50</v>
      </c>
      <c r="F49">
        <v>200</v>
      </c>
      <c r="G49" t="b">
        <v>1</v>
      </c>
      <c r="H49" t="b">
        <v>1</v>
      </c>
      <c r="I49" t="s">
        <v>9</v>
      </c>
      <c r="J49">
        <v>8</v>
      </c>
    </row>
    <row r="50" spans="1:10" x14ac:dyDescent="0.25">
      <c r="A50">
        <v>49</v>
      </c>
      <c r="B50">
        <v>10048</v>
      </c>
      <c r="C50">
        <v>0.97142857142857142</v>
      </c>
      <c r="D50">
        <v>0.8</v>
      </c>
      <c r="E50">
        <v>50</v>
      </c>
      <c r="F50">
        <v>200</v>
      </c>
      <c r="G50" t="b">
        <v>1</v>
      </c>
      <c r="H50" t="b">
        <v>1</v>
      </c>
      <c r="I50" t="s">
        <v>9</v>
      </c>
      <c r="J50">
        <v>8</v>
      </c>
    </row>
    <row r="51" spans="1:10" x14ac:dyDescent="0.25">
      <c r="A51">
        <v>50</v>
      </c>
      <c r="B51">
        <v>10049</v>
      </c>
      <c r="C51">
        <v>0.8571428571428571</v>
      </c>
      <c r="D51">
        <v>0.8</v>
      </c>
      <c r="E51">
        <v>50</v>
      </c>
      <c r="F51">
        <v>200</v>
      </c>
      <c r="G51" t="b">
        <v>1</v>
      </c>
      <c r="H51" t="b">
        <v>1</v>
      </c>
      <c r="I51" t="s">
        <v>9</v>
      </c>
      <c r="J51">
        <v>8</v>
      </c>
    </row>
    <row r="52" spans="1:10" x14ac:dyDescent="0.25">
      <c r="C52">
        <f>AVERAGE(sc_hi[train_acc])</f>
        <v>0.80114285714285727</v>
      </c>
      <c r="D52">
        <f>AVERAGE(sc_hi[test_acc])</f>
        <v>0.71733333333333338</v>
      </c>
    </row>
    <row r="54" spans="1:10" x14ac:dyDescent="0.25">
      <c r="C54">
        <f>_xlfn.STDEV.P(sc_hi[train_acc])</f>
        <v>7.9171217198253679E-2</v>
      </c>
      <c r="D54">
        <f>_xlfn.STDEV.P(sc_hi[test_acc])</f>
        <v>0.12547509713086483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52A6E-833C-4266-B52C-753338694078}">
  <dimension ref="A1:J54"/>
  <sheetViews>
    <sheetView workbookViewId="0">
      <selection activeCell="C51" sqref="C1:D51"/>
    </sheetView>
  </sheetViews>
  <sheetFormatPr defaultRowHeight="15" x14ac:dyDescent="0.25"/>
  <cols>
    <col min="1" max="1" width="6.85546875" bestFit="1" customWidth="1"/>
    <col min="2" max="2" width="7.5703125" bestFit="1" customWidth="1"/>
    <col min="3" max="4" width="12" bestFit="1" customWidth="1"/>
    <col min="5" max="5" width="14.5703125" bestFit="1" customWidth="1"/>
    <col min="6" max="6" width="10.140625" bestFit="1" customWidth="1"/>
    <col min="7" max="7" width="14.5703125" bestFit="1" customWidth="1"/>
    <col min="8" max="9" width="11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</v>
      </c>
    </row>
    <row r="2" spans="1:10" x14ac:dyDescent="0.25">
      <c r="A2">
        <v>1</v>
      </c>
      <c r="B2">
        <v>10000</v>
      </c>
      <c r="C2">
        <v>0.6</v>
      </c>
      <c r="D2">
        <v>0.73333333333333328</v>
      </c>
      <c r="E2">
        <v>50</v>
      </c>
      <c r="F2">
        <v>50</v>
      </c>
      <c r="G2" t="b">
        <v>1</v>
      </c>
      <c r="H2" t="b">
        <v>1</v>
      </c>
      <c r="I2" t="s">
        <v>9</v>
      </c>
      <c r="J2">
        <v>8</v>
      </c>
    </row>
    <row r="3" spans="1:10" x14ac:dyDescent="0.25">
      <c r="A3">
        <v>2</v>
      </c>
      <c r="B3">
        <v>10001</v>
      </c>
      <c r="C3">
        <v>0.7142857142857143</v>
      </c>
      <c r="D3">
        <v>0.46666666666666667</v>
      </c>
      <c r="E3">
        <v>50</v>
      </c>
      <c r="F3">
        <v>50</v>
      </c>
      <c r="G3" t="b">
        <v>1</v>
      </c>
      <c r="H3" t="b">
        <v>1</v>
      </c>
      <c r="I3" t="s">
        <v>9</v>
      </c>
      <c r="J3">
        <v>8</v>
      </c>
    </row>
    <row r="4" spans="1:10" x14ac:dyDescent="0.25">
      <c r="A4">
        <v>3</v>
      </c>
      <c r="B4">
        <v>10002</v>
      </c>
      <c r="C4">
        <v>0.8571428571428571</v>
      </c>
      <c r="D4">
        <v>0.73333333333333328</v>
      </c>
      <c r="E4">
        <v>50</v>
      </c>
      <c r="F4">
        <v>50</v>
      </c>
      <c r="G4" t="b">
        <v>1</v>
      </c>
      <c r="H4" t="b">
        <v>1</v>
      </c>
      <c r="I4" t="s">
        <v>9</v>
      </c>
      <c r="J4">
        <v>8</v>
      </c>
    </row>
    <row r="5" spans="1:10" x14ac:dyDescent="0.25">
      <c r="A5">
        <v>4</v>
      </c>
      <c r="B5">
        <v>10003</v>
      </c>
      <c r="C5">
        <v>0.7142857142857143</v>
      </c>
      <c r="D5">
        <v>0.46666666666666667</v>
      </c>
      <c r="E5">
        <v>50</v>
      </c>
      <c r="F5">
        <v>50</v>
      </c>
      <c r="G5" t="b">
        <v>1</v>
      </c>
      <c r="H5" t="b">
        <v>1</v>
      </c>
      <c r="I5" t="s">
        <v>9</v>
      </c>
      <c r="J5">
        <v>8</v>
      </c>
    </row>
    <row r="6" spans="1:10" x14ac:dyDescent="0.25">
      <c r="A6">
        <v>5</v>
      </c>
      <c r="B6">
        <v>10004</v>
      </c>
      <c r="C6">
        <v>0.7142857142857143</v>
      </c>
      <c r="D6">
        <v>0.66666666666666663</v>
      </c>
      <c r="E6">
        <v>50</v>
      </c>
      <c r="F6">
        <v>50</v>
      </c>
      <c r="G6" t="b">
        <v>1</v>
      </c>
      <c r="H6" t="b">
        <v>1</v>
      </c>
      <c r="I6" t="s">
        <v>9</v>
      </c>
      <c r="J6">
        <v>8</v>
      </c>
    </row>
    <row r="7" spans="1:10" x14ac:dyDescent="0.25">
      <c r="A7">
        <v>6</v>
      </c>
      <c r="B7">
        <v>10005</v>
      </c>
      <c r="C7">
        <v>0.74285714285714288</v>
      </c>
      <c r="D7">
        <v>0.46666666666666667</v>
      </c>
      <c r="E7">
        <v>50</v>
      </c>
      <c r="F7">
        <v>50</v>
      </c>
      <c r="G7" t="b">
        <v>1</v>
      </c>
      <c r="H7" t="b">
        <v>1</v>
      </c>
      <c r="I7" t="s">
        <v>9</v>
      </c>
      <c r="J7">
        <v>8</v>
      </c>
    </row>
    <row r="8" spans="1:10" x14ac:dyDescent="0.25">
      <c r="A8">
        <v>7</v>
      </c>
      <c r="B8">
        <v>10006</v>
      </c>
      <c r="C8">
        <v>0.5714285714285714</v>
      </c>
      <c r="D8">
        <v>0.53333333333333333</v>
      </c>
      <c r="E8">
        <v>50</v>
      </c>
      <c r="F8">
        <v>50</v>
      </c>
      <c r="G8" t="b">
        <v>1</v>
      </c>
      <c r="H8" t="b">
        <v>1</v>
      </c>
      <c r="I8" t="s">
        <v>9</v>
      </c>
      <c r="J8">
        <v>8</v>
      </c>
    </row>
    <row r="9" spans="1:10" x14ac:dyDescent="0.25">
      <c r="A9">
        <v>8</v>
      </c>
      <c r="B9">
        <v>10007</v>
      </c>
      <c r="C9">
        <v>0.51428571428571423</v>
      </c>
      <c r="D9">
        <v>0.53333333333333333</v>
      </c>
      <c r="E9">
        <v>50</v>
      </c>
      <c r="F9">
        <v>50</v>
      </c>
      <c r="G9" t="b">
        <v>1</v>
      </c>
      <c r="H9" t="b">
        <v>1</v>
      </c>
      <c r="I9" t="s">
        <v>9</v>
      </c>
      <c r="J9">
        <v>8</v>
      </c>
    </row>
    <row r="10" spans="1:10" x14ac:dyDescent="0.25">
      <c r="A10">
        <v>9</v>
      </c>
      <c r="B10">
        <v>10008</v>
      </c>
      <c r="C10">
        <v>0.8571428571428571</v>
      </c>
      <c r="D10">
        <v>0.6</v>
      </c>
      <c r="E10">
        <v>50</v>
      </c>
      <c r="F10">
        <v>50</v>
      </c>
      <c r="G10" t="b">
        <v>1</v>
      </c>
      <c r="H10" t="b">
        <v>1</v>
      </c>
      <c r="I10" t="s">
        <v>9</v>
      </c>
      <c r="J10">
        <v>8</v>
      </c>
    </row>
    <row r="11" spans="1:10" x14ac:dyDescent="0.25">
      <c r="A11">
        <v>10</v>
      </c>
      <c r="B11">
        <v>10009</v>
      </c>
      <c r="C11">
        <v>0.5714285714285714</v>
      </c>
      <c r="D11">
        <v>0.26666666666666666</v>
      </c>
      <c r="E11">
        <v>50</v>
      </c>
      <c r="F11">
        <v>50</v>
      </c>
      <c r="G11" t="b">
        <v>1</v>
      </c>
      <c r="H11" t="b">
        <v>1</v>
      </c>
      <c r="I11" t="s">
        <v>9</v>
      </c>
      <c r="J11">
        <v>8</v>
      </c>
    </row>
    <row r="12" spans="1:10" x14ac:dyDescent="0.25">
      <c r="A12">
        <v>11</v>
      </c>
      <c r="B12">
        <v>10010</v>
      </c>
      <c r="C12">
        <v>0.6</v>
      </c>
      <c r="D12">
        <v>0.6</v>
      </c>
      <c r="E12">
        <v>50</v>
      </c>
      <c r="F12">
        <v>50</v>
      </c>
      <c r="G12" t="b">
        <v>1</v>
      </c>
      <c r="H12" t="b">
        <v>1</v>
      </c>
      <c r="I12" t="s">
        <v>9</v>
      </c>
      <c r="J12">
        <v>8</v>
      </c>
    </row>
    <row r="13" spans="1:10" x14ac:dyDescent="0.25">
      <c r="A13">
        <v>12</v>
      </c>
      <c r="B13">
        <v>10011</v>
      </c>
      <c r="C13">
        <v>0.54285714285714282</v>
      </c>
      <c r="D13">
        <v>0.4</v>
      </c>
      <c r="E13">
        <v>50</v>
      </c>
      <c r="F13">
        <v>50</v>
      </c>
      <c r="G13" t="b">
        <v>1</v>
      </c>
      <c r="H13" t="b">
        <v>1</v>
      </c>
      <c r="I13" t="s">
        <v>9</v>
      </c>
      <c r="J13">
        <v>8</v>
      </c>
    </row>
    <row r="14" spans="1:10" x14ac:dyDescent="0.25">
      <c r="A14">
        <v>13</v>
      </c>
      <c r="B14">
        <v>10012</v>
      </c>
      <c r="C14">
        <v>0.6</v>
      </c>
      <c r="D14">
        <v>0.6</v>
      </c>
      <c r="E14">
        <v>50</v>
      </c>
      <c r="F14">
        <v>50</v>
      </c>
      <c r="G14" t="b">
        <v>1</v>
      </c>
      <c r="H14" t="b">
        <v>1</v>
      </c>
      <c r="I14" t="s">
        <v>9</v>
      </c>
      <c r="J14">
        <v>8</v>
      </c>
    </row>
    <row r="15" spans="1:10" x14ac:dyDescent="0.25">
      <c r="A15">
        <v>14</v>
      </c>
      <c r="B15">
        <v>10013</v>
      </c>
      <c r="C15">
        <v>0.51428571428571423</v>
      </c>
      <c r="D15">
        <v>0.26666666666666666</v>
      </c>
      <c r="E15">
        <v>50</v>
      </c>
      <c r="F15">
        <v>50</v>
      </c>
      <c r="G15" t="b">
        <v>1</v>
      </c>
      <c r="H15" t="b">
        <v>1</v>
      </c>
      <c r="I15" t="s">
        <v>9</v>
      </c>
      <c r="J15">
        <v>8</v>
      </c>
    </row>
    <row r="16" spans="1:10" x14ac:dyDescent="0.25">
      <c r="A16">
        <v>15</v>
      </c>
      <c r="B16">
        <v>10014</v>
      </c>
      <c r="C16">
        <v>0.77142857142857146</v>
      </c>
      <c r="D16">
        <v>0.66666666666666663</v>
      </c>
      <c r="E16">
        <v>50</v>
      </c>
      <c r="F16">
        <v>50</v>
      </c>
      <c r="G16" t="b">
        <v>1</v>
      </c>
      <c r="H16" t="b">
        <v>1</v>
      </c>
      <c r="I16" t="s">
        <v>9</v>
      </c>
      <c r="J16">
        <v>8</v>
      </c>
    </row>
    <row r="17" spans="1:10" x14ac:dyDescent="0.25">
      <c r="A17">
        <v>16</v>
      </c>
      <c r="B17">
        <v>10015</v>
      </c>
      <c r="C17">
        <v>0.8571428571428571</v>
      </c>
      <c r="D17">
        <v>0.8666666666666667</v>
      </c>
      <c r="E17">
        <v>50</v>
      </c>
      <c r="F17">
        <v>50</v>
      </c>
      <c r="G17" t="b">
        <v>1</v>
      </c>
      <c r="H17" t="b">
        <v>1</v>
      </c>
      <c r="I17" t="s">
        <v>9</v>
      </c>
      <c r="J17">
        <v>8</v>
      </c>
    </row>
    <row r="18" spans="1:10" x14ac:dyDescent="0.25">
      <c r="A18">
        <v>17</v>
      </c>
      <c r="B18">
        <v>10016</v>
      </c>
      <c r="C18">
        <v>0.5714285714285714</v>
      </c>
      <c r="D18">
        <v>0.53333333333333333</v>
      </c>
      <c r="E18">
        <v>50</v>
      </c>
      <c r="F18">
        <v>50</v>
      </c>
      <c r="G18" t="b">
        <v>1</v>
      </c>
      <c r="H18" t="b">
        <v>1</v>
      </c>
      <c r="I18" t="s">
        <v>9</v>
      </c>
      <c r="J18">
        <v>8</v>
      </c>
    </row>
    <row r="19" spans="1:10" x14ac:dyDescent="0.25">
      <c r="A19">
        <v>18</v>
      </c>
      <c r="B19">
        <v>10017</v>
      </c>
      <c r="C19">
        <v>0.91428571428571426</v>
      </c>
      <c r="D19">
        <v>0.66666666666666663</v>
      </c>
      <c r="E19">
        <v>50</v>
      </c>
      <c r="F19">
        <v>50</v>
      </c>
      <c r="G19" t="b">
        <v>1</v>
      </c>
      <c r="H19" t="b">
        <v>1</v>
      </c>
      <c r="I19" t="s">
        <v>9</v>
      </c>
      <c r="J19">
        <v>8</v>
      </c>
    </row>
    <row r="20" spans="1:10" x14ac:dyDescent="0.25">
      <c r="A20">
        <v>19</v>
      </c>
      <c r="B20">
        <v>10018</v>
      </c>
      <c r="C20">
        <v>0.77142857142857146</v>
      </c>
      <c r="D20">
        <v>0.66666666666666663</v>
      </c>
      <c r="E20">
        <v>50</v>
      </c>
      <c r="F20">
        <v>50</v>
      </c>
      <c r="G20" t="b">
        <v>1</v>
      </c>
      <c r="H20" t="b">
        <v>1</v>
      </c>
      <c r="I20" t="s">
        <v>9</v>
      </c>
      <c r="J20">
        <v>8</v>
      </c>
    </row>
    <row r="21" spans="1:10" x14ac:dyDescent="0.25">
      <c r="A21">
        <v>20</v>
      </c>
      <c r="B21">
        <v>10019</v>
      </c>
      <c r="C21">
        <v>0.48571428571428571</v>
      </c>
      <c r="D21">
        <v>0.73333333333333328</v>
      </c>
      <c r="E21">
        <v>50</v>
      </c>
      <c r="F21">
        <v>50</v>
      </c>
      <c r="G21" t="b">
        <v>1</v>
      </c>
      <c r="H21" t="b">
        <v>1</v>
      </c>
      <c r="I21" t="s">
        <v>9</v>
      </c>
      <c r="J21">
        <v>8</v>
      </c>
    </row>
    <row r="22" spans="1:10" x14ac:dyDescent="0.25">
      <c r="A22">
        <v>21</v>
      </c>
      <c r="B22">
        <v>10020</v>
      </c>
      <c r="C22">
        <v>0.74285714285714288</v>
      </c>
      <c r="D22">
        <v>0.6</v>
      </c>
      <c r="E22">
        <v>50</v>
      </c>
      <c r="F22">
        <v>50</v>
      </c>
      <c r="G22" t="b">
        <v>1</v>
      </c>
      <c r="H22" t="b">
        <v>1</v>
      </c>
      <c r="I22" t="s">
        <v>9</v>
      </c>
      <c r="J22">
        <v>8</v>
      </c>
    </row>
    <row r="23" spans="1:10" x14ac:dyDescent="0.25">
      <c r="A23">
        <v>22</v>
      </c>
      <c r="B23">
        <v>10021</v>
      </c>
      <c r="C23">
        <v>0.8</v>
      </c>
      <c r="D23">
        <v>0.66666666666666663</v>
      </c>
      <c r="E23">
        <v>50</v>
      </c>
      <c r="F23">
        <v>50</v>
      </c>
      <c r="G23" t="b">
        <v>1</v>
      </c>
      <c r="H23" t="b">
        <v>1</v>
      </c>
      <c r="I23" t="s">
        <v>9</v>
      </c>
      <c r="J23">
        <v>8</v>
      </c>
    </row>
    <row r="24" spans="1:10" x14ac:dyDescent="0.25">
      <c r="A24">
        <v>23</v>
      </c>
      <c r="B24">
        <v>10022</v>
      </c>
      <c r="C24">
        <v>0.7142857142857143</v>
      </c>
      <c r="D24">
        <v>0.8666666666666667</v>
      </c>
      <c r="E24">
        <v>50</v>
      </c>
      <c r="F24">
        <v>50</v>
      </c>
      <c r="G24" t="b">
        <v>1</v>
      </c>
      <c r="H24" t="b">
        <v>1</v>
      </c>
      <c r="I24" t="s">
        <v>9</v>
      </c>
      <c r="J24">
        <v>8</v>
      </c>
    </row>
    <row r="25" spans="1:10" x14ac:dyDescent="0.25">
      <c r="A25">
        <v>24</v>
      </c>
      <c r="B25">
        <v>10023</v>
      </c>
      <c r="C25">
        <v>0.6</v>
      </c>
      <c r="D25">
        <v>0.46666666666666667</v>
      </c>
      <c r="E25">
        <v>50</v>
      </c>
      <c r="F25">
        <v>50</v>
      </c>
      <c r="G25" t="b">
        <v>1</v>
      </c>
      <c r="H25" t="b">
        <v>1</v>
      </c>
      <c r="I25" t="s">
        <v>9</v>
      </c>
      <c r="J25">
        <v>8</v>
      </c>
    </row>
    <row r="26" spans="1:10" x14ac:dyDescent="0.25">
      <c r="A26">
        <v>25</v>
      </c>
      <c r="B26">
        <v>10024</v>
      </c>
      <c r="C26">
        <v>0.74285714285714288</v>
      </c>
      <c r="D26">
        <v>0.73333333333333328</v>
      </c>
      <c r="E26">
        <v>50</v>
      </c>
      <c r="F26">
        <v>50</v>
      </c>
      <c r="G26" t="b">
        <v>1</v>
      </c>
      <c r="H26" t="b">
        <v>1</v>
      </c>
      <c r="I26" t="s">
        <v>9</v>
      </c>
      <c r="J26">
        <v>8</v>
      </c>
    </row>
    <row r="27" spans="1:10" x14ac:dyDescent="0.25">
      <c r="A27">
        <v>26</v>
      </c>
      <c r="B27">
        <v>10025</v>
      </c>
      <c r="C27">
        <v>0.48571428571428571</v>
      </c>
      <c r="D27">
        <v>0.46666666666666667</v>
      </c>
      <c r="E27">
        <v>50</v>
      </c>
      <c r="F27">
        <v>50</v>
      </c>
      <c r="G27" t="b">
        <v>1</v>
      </c>
      <c r="H27" t="b">
        <v>1</v>
      </c>
      <c r="I27" t="s">
        <v>9</v>
      </c>
      <c r="J27">
        <v>8</v>
      </c>
    </row>
    <row r="28" spans="1:10" x14ac:dyDescent="0.25">
      <c r="A28">
        <v>27</v>
      </c>
      <c r="B28">
        <v>10026</v>
      </c>
      <c r="C28">
        <v>0.88571428571428568</v>
      </c>
      <c r="D28">
        <v>0.73333333333333328</v>
      </c>
      <c r="E28">
        <v>50</v>
      </c>
      <c r="F28">
        <v>50</v>
      </c>
      <c r="G28" t="b">
        <v>1</v>
      </c>
      <c r="H28" t="b">
        <v>1</v>
      </c>
      <c r="I28" t="s">
        <v>9</v>
      </c>
      <c r="J28">
        <v>8</v>
      </c>
    </row>
    <row r="29" spans="1:10" x14ac:dyDescent="0.25">
      <c r="A29">
        <v>28</v>
      </c>
      <c r="B29">
        <v>10027</v>
      </c>
      <c r="C29">
        <v>0.68571428571428572</v>
      </c>
      <c r="D29">
        <v>0.6</v>
      </c>
      <c r="E29">
        <v>50</v>
      </c>
      <c r="F29">
        <v>50</v>
      </c>
      <c r="G29" t="b">
        <v>1</v>
      </c>
      <c r="H29" t="b">
        <v>1</v>
      </c>
      <c r="I29" t="s">
        <v>9</v>
      </c>
      <c r="J29">
        <v>8</v>
      </c>
    </row>
    <row r="30" spans="1:10" x14ac:dyDescent="0.25">
      <c r="A30">
        <v>29</v>
      </c>
      <c r="B30">
        <v>10028</v>
      </c>
      <c r="C30">
        <v>0.6</v>
      </c>
      <c r="D30">
        <v>0.53333333333333333</v>
      </c>
      <c r="E30">
        <v>50</v>
      </c>
      <c r="F30">
        <v>50</v>
      </c>
      <c r="G30" t="b">
        <v>1</v>
      </c>
      <c r="H30" t="b">
        <v>1</v>
      </c>
      <c r="I30" t="s">
        <v>9</v>
      </c>
      <c r="J30">
        <v>8</v>
      </c>
    </row>
    <row r="31" spans="1:10" x14ac:dyDescent="0.25">
      <c r="A31">
        <v>30</v>
      </c>
      <c r="B31">
        <v>10029</v>
      </c>
      <c r="C31">
        <v>0.8</v>
      </c>
      <c r="D31">
        <v>0.46666666666666667</v>
      </c>
      <c r="E31">
        <v>50</v>
      </c>
      <c r="F31">
        <v>50</v>
      </c>
      <c r="G31" t="b">
        <v>1</v>
      </c>
      <c r="H31" t="b">
        <v>1</v>
      </c>
      <c r="I31" t="s">
        <v>9</v>
      </c>
      <c r="J31">
        <v>8</v>
      </c>
    </row>
    <row r="32" spans="1:10" x14ac:dyDescent="0.25">
      <c r="A32">
        <v>31</v>
      </c>
      <c r="B32">
        <v>10030</v>
      </c>
      <c r="C32">
        <v>0.74285714285714288</v>
      </c>
      <c r="D32">
        <v>0.6</v>
      </c>
      <c r="E32">
        <v>50</v>
      </c>
      <c r="F32">
        <v>50</v>
      </c>
      <c r="G32" t="b">
        <v>1</v>
      </c>
      <c r="H32" t="b">
        <v>1</v>
      </c>
      <c r="I32" t="s">
        <v>9</v>
      </c>
      <c r="J32">
        <v>8</v>
      </c>
    </row>
    <row r="33" spans="1:10" x14ac:dyDescent="0.25">
      <c r="A33">
        <v>32</v>
      </c>
      <c r="B33">
        <v>10031</v>
      </c>
      <c r="C33">
        <v>0.65714285714285714</v>
      </c>
      <c r="D33">
        <v>0.93333333333333335</v>
      </c>
      <c r="E33">
        <v>50</v>
      </c>
      <c r="F33">
        <v>50</v>
      </c>
      <c r="G33" t="b">
        <v>1</v>
      </c>
      <c r="H33" t="b">
        <v>1</v>
      </c>
      <c r="I33" t="s">
        <v>9</v>
      </c>
      <c r="J33">
        <v>8</v>
      </c>
    </row>
    <row r="34" spans="1:10" x14ac:dyDescent="0.25">
      <c r="A34">
        <v>33</v>
      </c>
      <c r="B34">
        <v>10032</v>
      </c>
      <c r="C34">
        <v>0.74285714285714288</v>
      </c>
      <c r="D34">
        <v>0.6</v>
      </c>
      <c r="E34">
        <v>50</v>
      </c>
      <c r="F34">
        <v>50</v>
      </c>
      <c r="G34" t="b">
        <v>1</v>
      </c>
      <c r="H34" t="b">
        <v>1</v>
      </c>
      <c r="I34" t="s">
        <v>9</v>
      </c>
      <c r="J34">
        <v>8</v>
      </c>
    </row>
    <row r="35" spans="1:10" x14ac:dyDescent="0.25">
      <c r="A35">
        <v>34</v>
      </c>
      <c r="B35">
        <v>10033</v>
      </c>
      <c r="C35">
        <v>0.68571428571428572</v>
      </c>
      <c r="D35">
        <v>0.66666666666666663</v>
      </c>
      <c r="E35">
        <v>50</v>
      </c>
      <c r="F35">
        <v>50</v>
      </c>
      <c r="G35" t="b">
        <v>1</v>
      </c>
      <c r="H35" t="b">
        <v>1</v>
      </c>
      <c r="I35" t="s">
        <v>9</v>
      </c>
      <c r="J35">
        <v>8</v>
      </c>
    </row>
    <row r="36" spans="1:10" x14ac:dyDescent="0.25">
      <c r="A36">
        <v>35</v>
      </c>
      <c r="B36">
        <v>10034</v>
      </c>
      <c r="C36">
        <v>0.51428571428571423</v>
      </c>
      <c r="D36">
        <v>0.53333333333333333</v>
      </c>
      <c r="E36">
        <v>50</v>
      </c>
      <c r="F36">
        <v>50</v>
      </c>
      <c r="G36" t="b">
        <v>1</v>
      </c>
      <c r="H36" t="b">
        <v>1</v>
      </c>
      <c r="I36" t="s">
        <v>9</v>
      </c>
      <c r="J36">
        <v>8</v>
      </c>
    </row>
    <row r="37" spans="1:10" x14ac:dyDescent="0.25">
      <c r="A37">
        <v>36</v>
      </c>
      <c r="B37">
        <v>10035</v>
      </c>
      <c r="C37">
        <v>0.7142857142857143</v>
      </c>
      <c r="D37">
        <v>0.66666666666666663</v>
      </c>
      <c r="E37">
        <v>50</v>
      </c>
      <c r="F37">
        <v>50</v>
      </c>
      <c r="G37" t="b">
        <v>1</v>
      </c>
      <c r="H37" t="b">
        <v>1</v>
      </c>
      <c r="I37" t="s">
        <v>9</v>
      </c>
      <c r="J37">
        <v>8</v>
      </c>
    </row>
    <row r="38" spans="1:10" x14ac:dyDescent="0.25">
      <c r="A38">
        <v>37</v>
      </c>
      <c r="B38">
        <v>10036</v>
      </c>
      <c r="C38">
        <v>0.74285714285714288</v>
      </c>
      <c r="D38">
        <v>0.93333333333333335</v>
      </c>
      <c r="E38">
        <v>50</v>
      </c>
      <c r="F38">
        <v>50</v>
      </c>
      <c r="G38" t="b">
        <v>1</v>
      </c>
      <c r="H38" t="b">
        <v>1</v>
      </c>
      <c r="I38" t="s">
        <v>9</v>
      </c>
      <c r="J38">
        <v>8</v>
      </c>
    </row>
    <row r="39" spans="1:10" x14ac:dyDescent="0.25">
      <c r="A39">
        <v>38</v>
      </c>
      <c r="B39">
        <v>10037</v>
      </c>
      <c r="C39">
        <v>0.7142857142857143</v>
      </c>
      <c r="D39">
        <v>0.6</v>
      </c>
      <c r="E39">
        <v>50</v>
      </c>
      <c r="F39">
        <v>50</v>
      </c>
      <c r="G39" t="b">
        <v>1</v>
      </c>
      <c r="H39" t="b">
        <v>1</v>
      </c>
      <c r="I39" t="s">
        <v>9</v>
      </c>
      <c r="J39">
        <v>8</v>
      </c>
    </row>
    <row r="40" spans="1:10" x14ac:dyDescent="0.25">
      <c r="A40">
        <v>39</v>
      </c>
      <c r="B40">
        <v>10038</v>
      </c>
      <c r="C40">
        <v>0.8</v>
      </c>
      <c r="D40">
        <v>0.66666666666666663</v>
      </c>
      <c r="E40">
        <v>50</v>
      </c>
      <c r="F40">
        <v>50</v>
      </c>
      <c r="G40" t="b">
        <v>1</v>
      </c>
      <c r="H40" t="b">
        <v>1</v>
      </c>
      <c r="I40" t="s">
        <v>9</v>
      </c>
      <c r="J40">
        <v>8</v>
      </c>
    </row>
    <row r="41" spans="1:10" x14ac:dyDescent="0.25">
      <c r="A41">
        <v>40</v>
      </c>
      <c r="B41">
        <v>10039</v>
      </c>
      <c r="C41">
        <v>0.8</v>
      </c>
      <c r="D41">
        <v>0.73333333333333328</v>
      </c>
      <c r="E41">
        <v>50</v>
      </c>
      <c r="F41">
        <v>50</v>
      </c>
      <c r="G41" t="b">
        <v>1</v>
      </c>
      <c r="H41" t="b">
        <v>1</v>
      </c>
      <c r="I41" t="s">
        <v>9</v>
      </c>
      <c r="J41">
        <v>8</v>
      </c>
    </row>
    <row r="42" spans="1:10" x14ac:dyDescent="0.25">
      <c r="A42">
        <v>41</v>
      </c>
      <c r="B42">
        <v>10040</v>
      </c>
      <c r="C42">
        <v>0.8571428571428571</v>
      </c>
      <c r="D42">
        <v>0.73333333333333328</v>
      </c>
      <c r="E42">
        <v>50</v>
      </c>
      <c r="F42">
        <v>50</v>
      </c>
      <c r="G42" t="b">
        <v>1</v>
      </c>
      <c r="H42" t="b">
        <v>1</v>
      </c>
      <c r="I42" t="s">
        <v>9</v>
      </c>
      <c r="J42">
        <v>8</v>
      </c>
    </row>
    <row r="43" spans="1:10" x14ac:dyDescent="0.25">
      <c r="A43">
        <v>42</v>
      </c>
      <c r="B43">
        <v>10041</v>
      </c>
      <c r="C43">
        <v>0.6</v>
      </c>
      <c r="D43">
        <v>0.53333333333333333</v>
      </c>
      <c r="E43">
        <v>50</v>
      </c>
      <c r="F43">
        <v>50</v>
      </c>
      <c r="G43" t="b">
        <v>1</v>
      </c>
      <c r="H43" t="b">
        <v>1</v>
      </c>
      <c r="I43" t="s">
        <v>9</v>
      </c>
      <c r="J43">
        <v>8</v>
      </c>
    </row>
    <row r="44" spans="1:10" x14ac:dyDescent="0.25">
      <c r="A44">
        <v>43</v>
      </c>
      <c r="B44">
        <v>10042</v>
      </c>
      <c r="C44">
        <v>0.37142857142857144</v>
      </c>
      <c r="D44">
        <v>0.33333333333333331</v>
      </c>
      <c r="E44">
        <v>50</v>
      </c>
      <c r="F44">
        <v>50</v>
      </c>
      <c r="G44" t="b">
        <v>1</v>
      </c>
      <c r="H44" t="b">
        <v>1</v>
      </c>
      <c r="I44" t="s">
        <v>9</v>
      </c>
      <c r="J44">
        <v>8</v>
      </c>
    </row>
    <row r="45" spans="1:10" x14ac:dyDescent="0.25">
      <c r="A45">
        <v>44</v>
      </c>
      <c r="B45">
        <v>10043</v>
      </c>
      <c r="C45">
        <v>0.74285714285714288</v>
      </c>
      <c r="D45">
        <v>0.73333333333333328</v>
      </c>
      <c r="E45">
        <v>50</v>
      </c>
      <c r="F45">
        <v>50</v>
      </c>
      <c r="G45" t="b">
        <v>1</v>
      </c>
      <c r="H45" t="b">
        <v>1</v>
      </c>
      <c r="I45" t="s">
        <v>9</v>
      </c>
      <c r="J45">
        <v>8</v>
      </c>
    </row>
    <row r="46" spans="1:10" x14ac:dyDescent="0.25">
      <c r="A46">
        <v>45</v>
      </c>
      <c r="B46">
        <v>10044</v>
      </c>
      <c r="C46">
        <v>0.7142857142857143</v>
      </c>
      <c r="D46">
        <v>0.46666666666666667</v>
      </c>
      <c r="E46">
        <v>50</v>
      </c>
      <c r="F46">
        <v>50</v>
      </c>
      <c r="G46" t="b">
        <v>1</v>
      </c>
      <c r="H46" t="b">
        <v>1</v>
      </c>
      <c r="I46" t="s">
        <v>9</v>
      </c>
      <c r="J46">
        <v>8</v>
      </c>
    </row>
    <row r="47" spans="1:10" x14ac:dyDescent="0.25">
      <c r="A47">
        <v>46</v>
      </c>
      <c r="B47">
        <v>10045</v>
      </c>
      <c r="C47">
        <v>0.62857142857142856</v>
      </c>
      <c r="D47">
        <v>0.73333333333333328</v>
      </c>
      <c r="E47">
        <v>50</v>
      </c>
      <c r="F47">
        <v>50</v>
      </c>
      <c r="G47" t="b">
        <v>1</v>
      </c>
      <c r="H47" t="b">
        <v>1</v>
      </c>
      <c r="I47" t="s">
        <v>9</v>
      </c>
      <c r="J47">
        <v>8</v>
      </c>
    </row>
    <row r="48" spans="1:10" x14ac:dyDescent="0.25">
      <c r="A48">
        <v>47</v>
      </c>
      <c r="B48">
        <v>10046</v>
      </c>
      <c r="C48">
        <v>0.65714285714285714</v>
      </c>
      <c r="D48">
        <v>0.6</v>
      </c>
      <c r="E48">
        <v>50</v>
      </c>
      <c r="F48">
        <v>50</v>
      </c>
      <c r="G48" t="b">
        <v>1</v>
      </c>
      <c r="H48" t="b">
        <v>1</v>
      </c>
      <c r="I48" t="s">
        <v>9</v>
      </c>
      <c r="J48">
        <v>8</v>
      </c>
    </row>
    <row r="49" spans="1:10" x14ac:dyDescent="0.25">
      <c r="A49">
        <v>48</v>
      </c>
      <c r="B49">
        <v>10047</v>
      </c>
      <c r="C49">
        <v>0.65714285714285714</v>
      </c>
      <c r="D49">
        <v>0.53333333333333333</v>
      </c>
      <c r="E49">
        <v>50</v>
      </c>
      <c r="F49">
        <v>50</v>
      </c>
      <c r="G49" t="b">
        <v>1</v>
      </c>
      <c r="H49" t="b">
        <v>1</v>
      </c>
      <c r="I49" t="s">
        <v>9</v>
      </c>
      <c r="J49">
        <v>8</v>
      </c>
    </row>
    <row r="50" spans="1:10" x14ac:dyDescent="0.25">
      <c r="A50">
        <v>49</v>
      </c>
      <c r="B50">
        <v>10048</v>
      </c>
      <c r="C50">
        <v>0.65714285714285714</v>
      </c>
      <c r="D50">
        <v>0.6</v>
      </c>
      <c r="E50">
        <v>50</v>
      </c>
      <c r="F50">
        <v>50</v>
      </c>
      <c r="G50" t="b">
        <v>1</v>
      </c>
      <c r="H50" t="b">
        <v>1</v>
      </c>
      <c r="I50" t="s">
        <v>9</v>
      </c>
      <c r="J50">
        <v>8</v>
      </c>
    </row>
    <row r="51" spans="1:10" x14ac:dyDescent="0.25">
      <c r="A51">
        <v>50</v>
      </c>
      <c r="B51">
        <v>10049</v>
      </c>
      <c r="C51">
        <v>0.62857142857142856</v>
      </c>
      <c r="D51">
        <v>0.66666666666666663</v>
      </c>
      <c r="E51">
        <v>50</v>
      </c>
      <c r="F51">
        <v>50</v>
      </c>
      <c r="G51" t="b">
        <v>1</v>
      </c>
      <c r="H51" t="b">
        <v>1</v>
      </c>
      <c r="I51" t="s">
        <v>9</v>
      </c>
      <c r="J51">
        <v>8</v>
      </c>
    </row>
    <row r="52" spans="1:10" x14ac:dyDescent="0.25">
      <c r="C52">
        <f>AVERAGE(sc_li[train_acc])</f>
        <v>0.68342857142857172</v>
      </c>
      <c r="D52">
        <f>AVERAGE(sc_li[test_acc])</f>
        <v>0.60933333333333362</v>
      </c>
    </row>
    <row r="54" spans="1:10" x14ac:dyDescent="0.25">
      <c r="C54">
        <f>_xlfn.STDEV.P(sc_li[train_acc])</f>
        <v>0.11708570034162799</v>
      </c>
      <c r="D54">
        <f>_xlfn.STDEV.P(sc_li[test_acc])</f>
        <v>0.14484321025010127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5B5FF-2D0B-41FC-9546-125C309BB9BB}">
  <dimension ref="A1:J7"/>
  <sheetViews>
    <sheetView zoomScale="150" zoomScaleNormal="150" workbookViewId="0">
      <selection activeCell="C4" sqref="C1:D4"/>
    </sheetView>
  </sheetViews>
  <sheetFormatPr defaultRowHeight="15" x14ac:dyDescent="0.25"/>
  <cols>
    <col min="1" max="1" width="6.85546875" bestFit="1" customWidth="1"/>
    <col min="2" max="2" width="7.5703125" bestFit="1" customWidth="1"/>
    <col min="3" max="4" width="12" bestFit="1" customWidth="1"/>
    <col min="5" max="5" width="11" bestFit="1" customWidth="1"/>
    <col min="6" max="6" width="14.5703125" bestFit="1" customWidth="1"/>
    <col min="7" max="7" width="10.140625" bestFit="1" customWidth="1"/>
    <col min="8" max="8" width="14.5703125" bestFit="1" customWidth="1"/>
    <col min="9" max="10" width="11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1</v>
      </c>
      <c r="B2">
        <v>10000</v>
      </c>
      <c r="C2">
        <v>0.52142857142857146</v>
      </c>
      <c r="D2">
        <v>0.55000000000000004</v>
      </c>
      <c r="E2">
        <v>16</v>
      </c>
      <c r="F2">
        <v>200</v>
      </c>
      <c r="G2">
        <v>40</v>
      </c>
      <c r="H2" t="b">
        <v>1</v>
      </c>
      <c r="I2" t="b">
        <v>1</v>
      </c>
      <c r="J2" s="4" t="s">
        <v>9</v>
      </c>
    </row>
    <row r="3" spans="1:10" x14ac:dyDescent="0.25">
      <c r="A3">
        <v>2</v>
      </c>
      <c r="B3">
        <v>10001</v>
      </c>
      <c r="C3">
        <v>0.5714285714285714</v>
      </c>
      <c r="D3">
        <v>0.66666666666666663</v>
      </c>
      <c r="E3">
        <v>16</v>
      </c>
      <c r="F3">
        <v>200</v>
      </c>
      <c r="G3">
        <v>40</v>
      </c>
      <c r="H3" t="b">
        <v>1</v>
      </c>
      <c r="I3" t="b">
        <v>1</v>
      </c>
      <c r="J3" s="4" t="s">
        <v>9</v>
      </c>
    </row>
    <row r="4" spans="1:10" x14ac:dyDescent="0.25">
      <c r="A4">
        <v>3</v>
      </c>
      <c r="B4">
        <v>10002</v>
      </c>
      <c r="C4">
        <v>0.63571428571428568</v>
      </c>
      <c r="D4">
        <v>0.5</v>
      </c>
      <c r="E4">
        <v>16</v>
      </c>
      <c r="F4">
        <v>200</v>
      </c>
      <c r="G4">
        <v>40</v>
      </c>
      <c r="H4" t="b">
        <v>1</v>
      </c>
      <c r="I4" t="b">
        <v>1</v>
      </c>
      <c r="J4" s="4" t="s">
        <v>9</v>
      </c>
    </row>
    <row r="5" spans="1:10" x14ac:dyDescent="0.25">
      <c r="B5" t="s">
        <v>12</v>
      </c>
      <c r="C5">
        <f>AVERAGE(qcnn_sweep_16q[train_acc])</f>
        <v>0.57619047619047625</v>
      </c>
      <c r="D5">
        <f>AVERAGE(qcnn_sweep_16q[test_acc])</f>
        <v>0.5722222222222223</v>
      </c>
      <c r="J5" s="4"/>
    </row>
    <row r="7" spans="1:10" x14ac:dyDescent="0.25">
      <c r="B7" t="s">
        <v>11</v>
      </c>
      <c r="C7">
        <f>_xlfn.STDEV.P(qcnn_sweep_16q[train_acc])</f>
        <v>4.6778292153305923E-2</v>
      </c>
      <c r="D7">
        <f>_xlfn.STDEV.P(qcnn_sweep_16q[test_acc])</f>
        <v>6.9832250499869089E-2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CCB5-CECC-4F76-8A9A-A54C9502F069}">
  <dimension ref="B2:M10"/>
  <sheetViews>
    <sheetView workbookViewId="0">
      <selection activeCell="C20" sqref="C20"/>
    </sheetView>
  </sheetViews>
  <sheetFormatPr defaultRowHeight="15" x14ac:dyDescent="0.25"/>
  <cols>
    <col min="3" max="3" width="13" customWidth="1"/>
  </cols>
  <sheetData>
    <row r="2" spans="2:13" x14ac:dyDescent="0.25">
      <c r="C2" s="5" t="s">
        <v>14</v>
      </c>
      <c r="D2" s="5"/>
      <c r="E2" s="5"/>
      <c r="F2" s="5"/>
      <c r="G2" s="5"/>
      <c r="I2" s="5" t="s">
        <v>15</v>
      </c>
      <c r="J2" s="5"/>
      <c r="K2" s="5"/>
      <c r="L2" s="5"/>
      <c r="M2" s="5"/>
    </row>
    <row r="3" spans="2:13" x14ac:dyDescent="0.25">
      <c r="C3">
        <v>16</v>
      </c>
      <c r="F3">
        <v>8</v>
      </c>
      <c r="I3">
        <v>8</v>
      </c>
      <c r="L3">
        <v>16</v>
      </c>
    </row>
    <row r="5" spans="2:13" x14ac:dyDescent="0.25">
      <c r="B5" t="s">
        <v>12</v>
      </c>
      <c r="C5">
        <f>AVERAGE(qcnn_sweep_16q[train_acc])</f>
        <v>0.57619047619047625</v>
      </c>
      <c r="D5">
        <f>AVERAGE(qcnn_sweep_16q[test_acc])</f>
        <v>0.5722222222222223</v>
      </c>
      <c r="F5">
        <f>AVERAGE(sc_li[train_acc])</f>
        <v>0.68342857142857172</v>
      </c>
      <c r="G5">
        <f>AVERAGE(sc_li[test_acc])</f>
        <v>0.60933333333333362</v>
      </c>
      <c r="I5">
        <f>AVERAGE(sc_hi[train_acc])</f>
        <v>0.80114285714285727</v>
      </c>
      <c r="J5">
        <f>AVERAGE(sc_hi[test_acc])</f>
        <v>0.71733333333333338</v>
      </c>
    </row>
    <row r="7" spans="2:13" x14ac:dyDescent="0.25">
      <c r="B7" t="s">
        <v>16</v>
      </c>
      <c r="C7">
        <f>_xlfn.STDEV.P(qcnn_sweep_16q[train_acc])</f>
        <v>4.6778292153305923E-2</v>
      </c>
      <c r="D7">
        <f>_xlfn.STDEV.P(qcnn_sweep_16q[test_acc])</f>
        <v>6.9832250499869089E-2</v>
      </c>
      <c r="F7">
        <f>_xlfn.STDEV.P(sc_li[train_acc])</f>
        <v>0.11708570034162799</v>
      </c>
      <c r="G7">
        <f>_xlfn.STDEV.P(sc_li[test_acc])</f>
        <v>0.14484321025010127</v>
      </c>
      <c r="I7">
        <f>_xlfn.STDEV.P(sc_hi[train_acc])</f>
        <v>7.9171217198253679E-2</v>
      </c>
      <c r="J7">
        <f>_xlfn.STDEV.P(sc_hi[test_acc])</f>
        <v>0.12547509713086483</v>
      </c>
    </row>
    <row r="10" spans="2:13" x14ac:dyDescent="0.25">
      <c r="B10" t="s">
        <v>21</v>
      </c>
      <c r="D10" t="s">
        <v>17</v>
      </c>
      <c r="F10" t="s">
        <v>20</v>
      </c>
      <c r="I10" t="s">
        <v>19</v>
      </c>
      <c r="L10" t="s">
        <v>18</v>
      </c>
    </row>
  </sheetData>
  <mergeCells count="2">
    <mergeCell ref="C2:G2"/>
    <mergeCell ref="I2:M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B096-000B-43B1-84F6-ED625702C4EA}">
  <dimension ref="A1:H51"/>
  <sheetViews>
    <sheetView zoomScale="120" zoomScaleNormal="120" workbookViewId="0">
      <selection activeCell="L2" sqref="L2"/>
    </sheetView>
  </sheetViews>
  <sheetFormatPr defaultRowHeight="15" x14ac:dyDescent="0.25"/>
  <sheetData>
    <row r="1" spans="1:8" x14ac:dyDescent="0.25">
      <c r="A1" s="3" t="s">
        <v>22</v>
      </c>
      <c r="B1" s="3" t="s">
        <v>3</v>
      </c>
      <c r="D1" s="3" t="s">
        <v>23</v>
      </c>
      <c r="E1" s="3" t="s">
        <v>3</v>
      </c>
      <c r="G1" s="3" t="s">
        <v>24</v>
      </c>
      <c r="H1" s="3" t="s">
        <v>3</v>
      </c>
    </row>
    <row r="2" spans="1:8" x14ac:dyDescent="0.25">
      <c r="A2" s="1">
        <v>0.68571428571428572</v>
      </c>
      <c r="B2" s="1">
        <v>0.73333333333333328</v>
      </c>
      <c r="D2" s="1">
        <v>0.6</v>
      </c>
      <c r="E2" s="1">
        <v>0.73333333333333328</v>
      </c>
      <c r="G2" s="1">
        <v>0.52142857142857146</v>
      </c>
      <c r="H2" s="1">
        <v>0.55000000000000004</v>
      </c>
    </row>
    <row r="3" spans="1:8" x14ac:dyDescent="0.25">
      <c r="A3" s="2">
        <v>0.8</v>
      </c>
      <c r="B3" s="2">
        <v>0.73333333333333328</v>
      </c>
      <c r="D3" s="2">
        <v>0.7142857142857143</v>
      </c>
      <c r="E3" s="2">
        <v>0.46666666666666667</v>
      </c>
      <c r="G3" s="2">
        <v>0.5714285714285714</v>
      </c>
      <c r="H3" s="2">
        <v>0.66666666666666663</v>
      </c>
    </row>
    <row r="4" spans="1:8" x14ac:dyDescent="0.25">
      <c r="A4" s="1">
        <v>0.68571428571428572</v>
      </c>
      <c r="B4" s="1">
        <v>0.73333333333333328</v>
      </c>
      <c r="D4" s="1">
        <v>0.8571428571428571</v>
      </c>
      <c r="E4" s="1">
        <v>0.73333333333333328</v>
      </c>
      <c r="G4" s="1">
        <v>0.63571428571428568</v>
      </c>
      <c r="H4" s="1">
        <v>0.5</v>
      </c>
    </row>
    <row r="5" spans="1:8" x14ac:dyDescent="0.25">
      <c r="A5" s="2">
        <v>0.77142857142857146</v>
      </c>
      <c r="B5" s="2">
        <v>0.53333333333333333</v>
      </c>
      <c r="D5" s="2">
        <v>0.7142857142857143</v>
      </c>
      <c r="E5" s="2">
        <v>0.46666666666666667</v>
      </c>
    </row>
    <row r="6" spans="1:8" x14ac:dyDescent="0.25">
      <c r="A6" s="1">
        <v>0.77142857142857146</v>
      </c>
      <c r="B6" s="1">
        <v>0.73333333333333328</v>
      </c>
      <c r="D6" s="1">
        <v>0.7142857142857143</v>
      </c>
      <c r="E6" s="1">
        <v>0.66666666666666663</v>
      </c>
    </row>
    <row r="7" spans="1:8" x14ac:dyDescent="0.25">
      <c r="A7" s="2">
        <v>0.8571428571428571</v>
      </c>
      <c r="B7" s="2">
        <v>0.73333333333333328</v>
      </c>
      <c r="D7" s="2">
        <v>0.74285714285714288</v>
      </c>
      <c r="E7" s="2">
        <v>0.46666666666666667</v>
      </c>
    </row>
    <row r="8" spans="1:8" x14ac:dyDescent="0.25">
      <c r="A8" s="1">
        <v>0.8</v>
      </c>
      <c r="B8" s="1">
        <v>0.66666666666666663</v>
      </c>
      <c r="D8" s="1">
        <v>0.5714285714285714</v>
      </c>
      <c r="E8" s="1">
        <v>0.53333333333333333</v>
      </c>
    </row>
    <row r="9" spans="1:8" x14ac:dyDescent="0.25">
      <c r="A9" s="2">
        <v>0.88571428571428568</v>
      </c>
      <c r="B9" s="2">
        <v>0.93333333333333335</v>
      </c>
      <c r="D9" s="2">
        <v>0.51428571428571423</v>
      </c>
      <c r="E9" s="2">
        <v>0.53333333333333333</v>
      </c>
    </row>
    <row r="10" spans="1:8" x14ac:dyDescent="0.25">
      <c r="A10" s="1">
        <v>0.8571428571428571</v>
      </c>
      <c r="B10" s="1">
        <v>0.53333333333333333</v>
      </c>
      <c r="D10" s="1">
        <v>0.8571428571428571</v>
      </c>
      <c r="E10" s="1">
        <v>0.6</v>
      </c>
    </row>
    <row r="11" spans="1:8" x14ac:dyDescent="0.25">
      <c r="A11" s="2">
        <v>0.8571428571428571</v>
      </c>
      <c r="B11" s="2">
        <v>0.73333333333333328</v>
      </c>
      <c r="D11" s="2">
        <v>0.5714285714285714</v>
      </c>
      <c r="E11" s="2">
        <v>0.26666666666666666</v>
      </c>
    </row>
    <row r="12" spans="1:8" x14ac:dyDescent="0.25">
      <c r="A12" s="1">
        <v>0.8</v>
      </c>
      <c r="B12" s="1">
        <v>0.8666666666666667</v>
      </c>
      <c r="D12" s="1">
        <v>0.6</v>
      </c>
      <c r="E12" s="1">
        <v>0.6</v>
      </c>
    </row>
    <row r="13" spans="1:8" x14ac:dyDescent="0.25">
      <c r="A13" s="2">
        <v>0.7142857142857143</v>
      </c>
      <c r="B13" s="2">
        <v>0.53333333333333333</v>
      </c>
      <c r="D13" s="2">
        <v>0.54285714285714282</v>
      </c>
      <c r="E13" s="2">
        <v>0.4</v>
      </c>
    </row>
    <row r="14" spans="1:8" x14ac:dyDescent="0.25">
      <c r="A14" s="1">
        <v>0.74285714285714288</v>
      </c>
      <c r="B14" s="1">
        <v>0.46666666666666667</v>
      </c>
      <c r="D14" s="1">
        <v>0.6</v>
      </c>
      <c r="E14" s="1">
        <v>0.6</v>
      </c>
    </row>
    <row r="15" spans="1:8" x14ac:dyDescent="0.25">
      <c r="A15" s="2">
        <v>0.91428571428571426</v>
      </c>
      <c r="B15" s="2">
        <v>0.73333333333333328</v>
      </c>
      <c r="D15" s="2">
        <v>0.51428571428571423</v>
      </c>
      <c r="E15" s="2">
        <v>0.26666666666666666</v>
      </c>
    </row>
    <row r="16" spans="1:8" x14ac:dyDescent="0.25">
      <c r="A16" s="1">
        <v>0.8</v>
      </c>
      <c r="B16" s="1">
        <v>0.66666666666666663</v>
      </c>
      <c r="D16" s="1">
        <v>0.77142857142857146</v>
      </c>
      <c r="E16" s="1">
        <v>0.66666666666666663</v>
      </c>
    </row>
    <row r="17" spans="1:5" x14ac:dyDescent="0.25">
      <c r="A17" s="2">
        <v>0.91428571428571426</v>
      </c>
      <c r="B17" s="2">
        <v>0.8</v>
      </c>
      <c r="D17" s="2">
        <v>0.8571428571428571</v>
      </c>
      <c r="E17" s="2">
        <v>0.8666666666666667</v>
      </c>
    </row>
    <row r="18" spans="1:5" x14ac:dyDescent="0.25">
      <c r="A18" s="1">
        <v>0.77142857142857146</v>
      </c>
      <c r="B18" s="1">
        <v>0.8</v>
      </c>
      <c r="D18" s="1">
        <v>0.5714285714285714</v>
      </c>
      <c r="E18" s="1">
        <v>0.53333333333333333</v>
      </c>
    </row>
    <row r="19" spans="1:5" x14ac:dyDescent="0.25">
      <c r="A19" s="2">
        <v>0.97142857142857142</v>
      </c>
      <c r="B19" s="2">
        <v>0.73333333333333328</v>
      </c>
      <c r="D19" s="2">
        <v>0.91428571428571426</v>
      </c>
      <c r="E19" s="2">
        <v>0.66666666666666663</v>
      </c>
    </row>
    <row r="20" spans="1:5" x14ac:dyDescent="0.25">
      <c r="A20" s="1">
        <v>0.88571428571428568</v>
      </c>
      <c r="B20" s="1">
        <v>0.66666666666666663</v>
      </c>
      <c r="D20" s="1">
        <v>0.77142857142857146</v>
      </c>
      <c r="E20" s="1">
        <v>0.66666666666666663</v>
      </c>
    </row>
    <row r="21" spans="1:5" x14ac:dyDescent="0.25">
      <c r="A21" s="2">
        <v>0.8</v>
      </c>
      <c r="B21" s="2">
        <v>0.8666666666666667</v>
      </c>
      <c r="D21" s="2">
        <v>0.48571428571428571</v>
      </c>
      <c r="E21" s="2">
        <v>0.73333333333333328</v>
      </c>
    </row>
    <row r="22" spans="1:5" x14ac:dyDescent="0.25">
      <c r="A22" s="1">
        <v>0.82857142857142863</v>
      </c>
      <c r="B22" s="1">
        <v>0.73333333333333328</v>
      </c>
      <c r="D22" s="1">
        <v>0.74285714285714288</v>
      </c>
      <c r="E22" s="1">
        <v>0.6</v>
      </c>
    </row>
    <row r="23" spans="1:5" x14ac:dyDescent="0.25">
      <c r="A23" s="2">
        <v>0.7142857142857143</v>
      </c>
      <c r="B23" s="2">
        <v>0.66666666666666663</v>
      </c>
      <c r="D23" s="2">
        <v>0.8</v>
      </c>
      <c r="E23" s="2">
        <v>0.66666666666666663</v>
      </c>
    </row>
    <row r="24" spans="1:5" x14ac:dyDescent="0.25">
      <c r="A24" s="1">
        <v>0.68571428571428572</v>
      </c>
      <c r="B24" s="1">
        <v>0.93333333333333335</v>
      </c>
      <c r="D24" s="1">
        <v>0.7142857142857143</v>
      </c>
      <c r="E24" s="1">
        <v>0.8666666666666667</v>
      </c>
    </row>
    <row r="25" spans="1:5" x14ac:dyDescent="0.25">
      <c r="A25" s="2">
        <v>0.91428571428571426</v>
      </c>
      <c r="B25" s="2">
        <v>0.8</v>
      </c>
      <c r="D25" s="2">
        <v>0.6</v>
      </c>
      <c r="E25" s="2">
        <v>0.46666666666666667</v>
      </c>
    </row>
    <row r="26" spans="1:5" x14ac:dyDescent="0.25">
      <c r="A26" s="1">
        <v>0.82857142857142863</v>
      </c>
      <c r="B26" s="1">
        <v>0.8666666666666667</v>
      </c>
      <c r="D26" s="1">
        <v>0.74285714285714288</v>
      </c>
      <c r="E26" s="1">
        <v>0.73333333333333328</v>
      </c>
    </row>
    <row r="27" spans="1:5" x14ac:dyDescent="0.25">
      <c r="A27" s="2">
        <v>0.82857142857142863</v>
      </c>
      <c r="B27" s="2">
        <v>0.66666666666666663</v>
      </c>
      <c r="D27" s="2">
        <v>0.48571428571428571</v>
      </c>
      <c r="E27" s="2">
        <v>0.46666666666666667</v>
      </c>
    </row>
    <row r="28" spans="1:5" x14ac:dyDescent="0.25">
      <c r="A28" s="1">
        <v>0.88571428571428568</v>
      </c>
      <c r="B28" s="1">
        <v>0.73333333333333328</v>
      </c>
      <c r="D28" s="1">
        <v>0.88571428571428568</v>
      </c>
      <c r="E28" s="1">
        <v>0.73333333333333328</v>
      </c>
    </row>
    <row r="29" spans="1:5" x14ac:dyDescent="0.25">
      <c r="A29" s="2">
        <v>0.7142857142857143</v>
      </c>
      <c r="B29" s="2">
        <v>0.46666666666666667</v>
      </c>
      <c r="D29" s="2">
        <v>0.68571428571428572</v>
      </c>
      <c r="E29" s="2">
        <v>0.6</v>
      </c>
    </row>
    <row r="30" spans="1:5" x14ac:dyDescent="0.25">
      <c r="A30" s="1">
        <v>0.74285714285714288</v>
      </c>
      <c r="B30" s="1">
        <v>0.46666666666666667</v>
      </c>
      <c r="D30" s="1">
        <v>0.6</v>
      </c>
      <c r="E30" s="1">
        <v>0.53333333333333333</v>
      </c>
    </row>
    <row r="31" spans="1:5" x14ac:dyDescent="0.25">
      <c r="A31" s="2">
        <v>0.74285714285714288</v>
      </c>
      <c r="B31" s="2">
        <v>0.66666666666666663</v>
      </c>
      <c r="D31" s="2">
        <v>0.8</v>
      </c>
      <c r="E31" s="2">
        <v>0.46666666666666667</v>
      </c>
    </row>
    <row r="32" spans="1:5" x14ac:dyDescent="0.25">
      <c r="A32" s="1">
        <v>0.65714285714285714</v>
      </c>
      <c r="B32" s="1">
        <v>0.46666666666666667</v>
      </c>
      <c r="D32" s="1">
        <v>0.74285714285714288</v>
      </c>
      <c r="E32" s="1">
        <v>0.6</v>
      </c>
    </row>
    <row r="33" spans="1:5" x14ac:dyDescent="0.25">
      <c r="A33" s="2">
        <v>0.77142857142857146</v>
      </c>
      <c r="B33" s="2">
        <v>0.93333333333333335</v>
      </c>
      <c r="D33" s="2">
        <v>0.65714285714285714</v>
      </c>
      <c r="E33" s="2">
        <v>0.93333333333333335</v>
      </c>
    </row>
    <row r="34" spans="1:5" x14ac:dyDescent="0.25">
      <c r="A34" s="1">
        <v>0.8571428571428571</v>
      </c>
      <c r="B34" s="1">
        <v>0.73333333333333328</v>
      </c>
      <c r="D34" s="1">
        <v>0.74285714285714288</v>
      </c>
      <c r="E34" s="1">
        <v>0.6</v>
      </c>
    </row>
    <row r="35" spans="1:5" x14ac:dyDescent="0.25">
      <c r="A35" s="2">
        <v>0.77142857142857146</v>
      </c>
      <c r="B35" s="2">
        <v>0.8666666666666667</v>
      </c>
      <c r="D35" s="2">
        <v>0.68571428571428572</v>
      </c>
      <c r="E35" s="2">
        <v>0.66666666666666663</v>
      </c>
    </row>
    <row r="36" spans="1:5" x14ac:dyDescent="0.25">
      <c r="A36" s="1">
        <v>0.68571428571428572</v>
      </c>
      <c r="B36" s="1">
        <v>0.53333333333333333</v>
      </c>
      <c r="D36" s="1">
        <v>0.51428571428571423</v>
      </c>
      <c r="E36" s="1">
        <v>0.53333333333333333</v>
      </c>
    </row>
    <row r="37" spans="1:5" x14ac:dyDescent="0.25">
      <c r="A37" s="2">
        <v>0.77142857142857146</v>
      </c>
      <c r="B37" s="2">
        <v>0.8666666666666667</v>
      </c>
      <c r="D37" s="2">
        <v>0.7142857142857143</v>
      </c>
      <c r="E37" s="2">
        <v>0.66666666666666663</v>
      </c>
    </row>
    <row r="38" spans="1:5" x14ac:dyDescent="0.25">
      <c r="A38" s="1">
        <v>0.94285714285714284</v>
      </c>
      <c r="B38" s="1">
        <v>0.8666666666666667</v>
      </c>
      <c r="D38" s="1">
        <v>0.74285714285714288</v>
      </c>
      <c r="E38" s="1">
        <v>0.93333333333333335</v>
      </c>
    </row>
    <row r="39" spans="1:5" x14ac:dyDescent="0.25">
      <c r="A39" s="2">
        <v>0.8</v>
      </c>
      <c r="B39" s="2">
        <v>0.66666666666666663</v>
      </c>
      <c r="D39" s="2">
        <v>0.7142857142857143</v>
      </c>
      <c r="E39" s="2">
        <v>0.6</v>
      </c>
    </row>
    <row r="40" spans="1:5" x14ac:dyDescent="0.25">
      <c r="A40" s="1">
        <v>0.8</v>
      </c>
      <c r="B40" s="1">
        <v>0.73333333333333328</v>
      </c>
      <c r="D40" s="1">
        <v>0.8</v>
      </c>
      <c r="E40" s="1">
        <v>0.66666666666666663</v>
      </c>
    </row>
    <row r="41" spans="1:5" x14ac:dyDescent="0.25">
      <c r="A41" s="2">
        <v>0.88571428571428568</v>
      </c>
      <c r="B41" s="2">
        <v>0.8</v>
      </c>
      <c r="D41" s="2">
        <v>0.8</v>
      </c>
      <c r="E41" s="2">
        <v>0.73333333333333328</v>
      </c>
    </row>
    <row r="42" spans="1:5" x14ac:dyDescent="0.25">
      <c r="A42" s="1">
        <v>0.82857142857142863</v>
      </c>
      <c r="B42" s="1">
        <v>0.8</v>
      </c>
      <c r="D42" s="1">
        <v>0.8571428571428571</v>
      </c>
      <c r="E42" s="1">
        <v>0.73333333333333328</v>
      </c>
    </row>
    <row r="43" spans="1:5" x14ac:dyDescent="0.25">
      <c r="A43" s="2">
        <v>0.82857142857142863</v>
      </c>
      <c r="B43" s="2">
        <v>0.8666666666666667</v>
      </c>
      <c r="D43" s="2">
        <v>0.6</v>
      </c>
      <c r="E43" s="2">
        <v>0.53333333333333333</v>
      </c>
    </row>
    <row r="44" spans="1:5" x14ac:dyDescent="0.25">
      <c r="A44" s="1">
        <v>0.74285714285714288</v>
      </c>
      <c r="B44" s="1">
        <v>0.66666666666666663</v>
      </c>
      <c r="D44" s="1">
        <v>0.37142857142857144</v>
      </c>
      <c r="E44" s="1">
        <v>0.33333333333333331</v>
      </c>
    </row>
    <row r="45" spans="1:5" x14ac:dyDescent="0.25">
      <c r="A45" s="2">
        <v>0.74285714285714288</v>
      </c>
      <c r="B45" s="2">
        <v>0.73333333333333328</v>
      </c>
      <c r="D45" s="2">
        <v>0.74285714285714288</v>
      </c>
      <c r="E45" s="2">
        <v>0.73333333333333328</v>
      </c>
    </row>
    <row r="46" spans="1:5" x14ac:dyDescent="0.25">
      <c r="A46" s="1">
        <v>0.77142857142857146</v>
      </c>
      <c r="B46" s="1">
        <v>0.6</v>
      </c>
      <c r="D46" s="1">
        <v>0.7142857142857143</v>
      </c>
      <c r="E46" s="1">
        <v>0.46666666666666667</v>
      </c>
    </row>
    <row r="47" spans="1:5" x14ac:dyDescent="0.25">
      <c r="A47" s="2">
        <v>0.65714285714285714</v>
      </c>
      <c r="B47" s="2">
        <v>0.66666666666666663</v>
      </c>
      <c r="D47" s="2">
        <v>0.62857142857142856</v>
      </c>
      <c r="E47" s="2">
        <v>0.73333333333333328</v>
      </c>
    </row>
    <row r="48" spans="1:5" x14ac:dyDescent="0.25">
      <c r="A48" s="1">
        <v>0.7142857142857143</v>
      </c>
      <c r="B48" s="1">
        <v>0.66666666666666663</v>
      </c>
      <c r="D48" s="1">
        <v>0.65714285714285714</v>
      </c>
      <c r="E48" s="1">
        <v>0.6</v>
      </c>
    </row>
    <row r="49" spans="1:5" x14ac:dyDescent="0.25">
      <c r="A49" s="2">
        <v>0.82857142857142863</v>
      </c>
      <c r="B49" s="2">
        <v>0.6</v>
      </c>
      <c r="D49" s="2">
        <v>0.65714285714285714</v>
      </c>
      <c r="E49" s="2">
        <v>0.53333333333333333</v>
      </c>
    </row>
    <row r="50" spans="1:5" x14ac:dyDescent="0.25">
      <c r="A50" s="1">
        <v>0.97142857142857142</v>
      </c>
      <c r="B50" s="1">
        <v>0.8</v>
      </c>
      <c r="D50" s="1">
        <v>0.65714285714285714</v>
      </c>
      <c r="E50" s="1">
        <v>0.6</v>
      </c>
    </row>
    <row r="51" spans="1:5" x14ac:dyDescent="0.25">
      <c r="A51" s="2">
        <v>0.8571428571428571</v>
      </c>
      <c r="B51" s="2">
        <v>0.8</v>
      </c>
      <c r="D51" s="2">
        <v>0.62857142857142856</v>
      </c>
      <c r="E51" s="2">
        <v>0.66666666666666663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E219-4E41-4FF5-A96C-91A4FDE7EB04}">
  <dimension ref="A1:C1"/>
  <sheetViews>
    <sheetView tabSelected="1" workbookViewId="0">
      <selection activeCell="D5" sqref="D5"/>
    </sheetView>
  </sheetViews>
  <sheetFormatPr defaultRowHeight="15" x14ac:dyDescent="0.25"/>
  <cols>
    <col min="1" max="1" width="42.28515625" bestFit="1" customWidth="1"/>
  </cols>
  <sheetData>
    <row r="1" spans="1:3" x14ac:dyDescent="0.25">
      <c r="A1" t="s">
        <v>26</v>
      </c>
      <c r="C1" s="6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23A904-A24E-47D6-804E-78214F6410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8qbit_200iter</vt:lpstr>
      <vt:lpstr>8qbit_50iter</vt:lpstr>
      <vt:lpstr>16qbit_40iter</vt:lpstr>
      <vt:lpstr>Summary</vt:lpstr>
      <vt:lpstr>Graphs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Kornél Kemecsei</dc:creator>
  <cp:lastModifiedBy>Kornél Kemecsei</cp:lastModifiedBy>
  <dcterms:created xsi:type="dcterms:W3CDTF">2015-06-05T18:17:20Z</dcterms:created>
  <dcterms:modified xsi:type="dcterms:W3CDTF">2025-09-22T16:51:33Z</dcterms:modified>
</cp:coreProperties>
</file>