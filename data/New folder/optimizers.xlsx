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Kornel\Egyetem\QNN\qiskit\data\New folder\"/>
    </mc:Choice>
  </mc:AlternateContent>
  <xr:revisionPtr revIDLastSave="0" documentId="13_ncr:1_{533C5AA6-DBCD-438B-B354-DBBDDDC38166}" xr6:coauthVersionLast="47" xr6:coauthVersionMax="47" xr10:uidLastSave="{00000000-0000-0000-0000-000000000000}"/>
  <bookViews>
    <workbookView xWindow="4520" yWindow="4520" windowWidth="28800" windowHeight="15370" activeTab="2" xr2:uid="{00000000-000D-0000-FFFF-FFFF00000000}"/>
  </bookViews>
  <sheets>
    <sheet name="cobyla" sheetId="3" r:id="rId1"/>
    <sheet name="spsa" sheetId="2" r:id="rId2"/>
    <sheet name="Sheet1" sheetId="1" r:id="rId3"/>
  </sheets>
  <definedNames>
    <definedName name="ExternalData_1" localSheetId="1" hidden="1">spsa!$A$1:$J$51</definedName>
    <definedName name="ExternalData_2" localSheetId="0" hidden="1">'cobyla'!$A$1:$J$51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3" l="1"/>
  <c r="C55" i="3"/>
  <c r="D53" i="2"/>
  <c r="C53" i="2"/>
  <c r="D53" i="3"/>
  <c r="C53" i="3"/>
  <c r="D54" i="3"/>
  <c r="C54" i="3"/>
  <c r="D52" i="2"/>
  <c r="C52" i="2"/>
  <c r="D52" i="3"/>
  <c r="C5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CB635-9B43-4EA2-A401-E95699E11C47}" keepAlive="1" name="Query - cobyla" description="Connection to the 'cobyla' query in the workbook." type="5" refreshedVersion="8" background="1" saveData="1">
    <dbPr connection="Provider=Microsoft.Mashup.OleDb.1;Data Source=$Workbook$;Location=cobyla;Extended Properties=&quot;&quot;" command="SELECT * FROM [cobyla]"/>
  </connection>
  <connection id="2" xr16:uid="{C1EB5DB8-B0AA-4731-83BF-0BEC5A6B29D8}" keepAlive="1" name="Query - spsa" description="Connection to the 'spsa' query in the workbook." type="5" refreshedVersion="8" background="1" saveData="1">
    <dbPr connection="Provider=Microsoft.Mashup.OleDb.1;Data Source=$Workbook$;Location=spsa;Extended Properties=&quot;&quot;" command="SELECT * FROM [spsa]"/>
  </connection>
</connections>
</file>

<file path=xl/sharedStrings.xml><?xml version="1.0" encoding="utf-8"?>
<sst xmlns="http://schemas.openxmlformats.org/spreadsheetml/2006/main" count="120" uniqueCount="11">
  <si>
    <t>trial</t>
  </si>
  <si>
    <t>seed</t>
  </si>
  <si>
    <t>train_acc</t>
  </si>
  <si>
    <t>test_acc</t>
  </si>
  <si>
    <t>n_qubits</t>
  </si>
  <si>
    <t>num_images</t>
  </si>
  <si>
    <t>maxiter</t>
  </si>
  <si>
    <t>vary_dataset</t>
  </si>
  <si>
    <t>vary_split</t>
  </si>
  <si>
    <t>optimizer</t>
  </si>
  <si>
    <t>COBYLA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</si>
</sst>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B851CAC-F481-4167-871E-F983F079E623}" autoFormatId="16" applyNumberFormats="0" applyBorderFormats="0" applyFontFormats="0" applyPatternFormats="0" applyAlignmentFormats="0" applyWidthHeightFormats="0">
  <queryTableRefresh nextId="11">
    <queryTableFields count="10">
      <queryTableField id="1" name="trial" tableColumnId="1"/>
      <queryTableField id="2" name="seed" tableColumnId="2"/>
      <queryTableField id="3" name="train_acc" tableColumnId="3"/>
      <queryTableField id="4" name="test_acc" tableColumnId="4"/>
      <queryTableField id="5" name="n_qubits" tableColumnId="5"/>
      <queryTableField id="6" name="num_images" tableColumnId="6"/>
      <queryTableField id="7" name="maxiter" tableColumnId="7"/>
      <queryTableField id="8" name="vary_dataset" tableColumnId="8"/>
      <queryTableField id="9" name="vary_split" tableColumnId="9"/>
      <queryTableField id="10" name="optimizer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C9A1F6-0C88-441A-8709-8A5CD7E1D78B}" autoFormatId="16" applyNumberFormats="0" applyBorderFormats="0" applyFontFormats="0" applyPatternFormats="0" applyAlignmentFormats="0" applyWidthHeightFormats="0">
  <queryTableRefresh nextId="11">
    <queryTableFields count="10">
      <queryTableField id="1" name="trial" tableColumnId="1"/>
      <queryTableField id="2" name="seed" tableColumnId="2"/>
      <queryTableField id="3" name="train_acc" tableColumnId="3"/>
      <queryTableField id="4" name="test_acc" tableColumnId="4"/>
      <queryTableField id="5" name="n_qubits" tableColumnId="5"/>
      <queryTableField id="6" name="num_images" tableColumnId="6"/>
      <queryTableField id="7" name="maxiter" tableColumnId="7"/>
      <queryTableField id="8" name="vary_dataset" tableColumnId="8"/>
      <queryTableField id="9" name="vary_split" tableColumnId="9"/>
      <queryTableField id="10" name="optimiz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B9B2C9-30F4-465D-914D-86ACC885951E}" name="cobyla" displayName="cobyla" ref="A1:J52" tableType="queryTable" totalsRowCount="1">
  <autoFilter ref="A1:J51" xr:uid="{08B9B2C9-30F4-465D-914D-86ACC885951E}"/>
  <tableColumns count="10">
    <tableColumn id="1" xr3:uid="{75494754-DF32-4E6B-AC1B-A2EC22B467BA}" uniqueName="1" name="trial" queryTableFieldId="1"/>
    <tableColumn id="2" xr3:uid="{48AEE7D4-F9F1-4A60-9D05-BCF157B2068D}" uniqueName="2" name="seed" queryTableFieldId="2"/>
    <tableColumn id="3" xr3:uid="{DEB552FB-7B1B-4493-AC65-FA56C264679A}" uniqueName="3" name="train_acc" totalsRowFunction="custom" queryTableFieldId="3">
      <totalsRowFormula>AVERAGE(cobyla[train_acc])</totalsRowFormula>
    </tableColumn>
    <tableColumn id="4" xr3:uid="{04AEAB92-8906-4F43-9AA5-BFB27844D645}" uniqueName="4" name="test_acc" totalsRowFunction="custom" queryTableFieldId="4">
      <totalsRowFormula>AVERAGE(cobyla[test_acc])</totalsRowFormula>
    </tableColumn>
    <tableColumn id="5" xr3:uid="{CD6C26DE-B77A-49A4-AB92-883B6E37F34E}" uniqueName="5" name="n_qubits" queryTableFieldId="5"/>
    <tableColumn id="6" xr3:uid="{7014A93E-1168-43F8-83BE-709F8769DA04}" uniqueName="6" name="num_images" queryTableFieldId="6"/>
    <tableColumn id="7" xr3:uid="{BB26AE91-E68A-42B9-AC34-C852C2C4CD95}" uniqueName="7" name="maxiter" queryTableFieldId="7"/>
    <tableColumn id="8" xr3:uid="{F74886B7-8F08-4CB4-B21A-B521C5A31B8C}" uniqueName="8" name="vary_dataset" queryTableFieldId="8"/>
    <tableColumn id="9" xr3:uid="{9691FA5C-DEA6-4AF9-BB78-21F99471A35F}" uniqueName="9" name="vary_split" queryTableFieldId="9"/>
    <tableColumn id="10" xr3:uid="{405EDCF2-8746-4D78-AB3E-0FC4394F9ED6}" uniqueName="10" name="optimizer" queryTableFieldId="10" dataDxfId="2" totalsRow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627CA-880B-4157-A308-3AEBED8262D4}" name="spsa" displayName="spsa" ref="A1:J52" tableType="queryTable" totalsRowCount="1">
  <autoFilter ref="A1:J51" xr:uid="{324627CA-880B-4157-A308-3AEBED8262D4}"/>
  <tableColumns count="10">
    <tableColumn id="1" xr3:uid="{11429405-55FA-462B-A56E-969BE689F5EE}" uniqueName="1" name="trial" queryTableFieldId="1"/>
    <tableColumn id="2" xr3:uid="{D2FD80E9-3DA4-4A90-ACD0-FDED44DFCF3A}" uniqueName="2" name="seed" queryTableFieldId="2"/>
    <tableColumn id="3" xr3:uid="{8A4A2DBC-8896-4052-AB1C-C2DDBAE8AC40}" uniqueName="3" name="train_acc" totalsRowFunction="custom" queryTableFieldId="3">
      <totalsRowFormula>AVERAGE(spsa[train_acc])</totalsRowFormula>
    </tableColumn>
    <tableColumn id="4" xr3:uid="{9F7EBFE1-605E-44A5-BB90-9A9DD9F73EF4}" uniqueName="4" name="test_acc" totalsRowFunction="custom" queryTableFieldId="4">
      <totalsRowFormula>AVERAGE(spsa[test_acc])</totalsRowFormula>
    </tableColumn>
    <tableColumn id="5" xr3:uid="{37315A73-40F1-409F-8799-F9E65E4FA5CA}" uniqueName="5" name="n_qubits" queryTableFieldId="5"/>
    <tableColumn id="6" xr3:uid="{53A0E577-8781-4F2C-AC9B-3F89F90252EF}" uniqueName="6" name="num_images" queryTableFieldId="6"/>
    <tableColumn id="7" xr3:uid="{7FEB6747-939A-43AF-ABE4-40A68235D71C}" uniqueName="7" name="maxiter" queryTableFieldId="7"/>
    <tableColumn id="8" xr3:uid="{2FEF0D93-1F0D-47AD-AEA7-695BE237A1CC}" uniqueName="8" name="vary_dataset" queryTableFieldId="8"/>
    <tableColumn id="9" xr3:uid="{6A31FBFE-5EBD-4F9E-82D2-9BAAA33CBD3D}" uniqueName="9" name="vary_split" queryTableFieldId="9"/>
    <tableColumn id="10" xr3:uid="{0868B6DD-E5DF-4B46-BB8E-02BFAED76630}" uniqueName="10" name="optimizer" queryTableFieldId="10" dataDxfId="3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980E-229F-4721-9CE1-CC5D45A2A6A5}">
  <dimension ref="A1:J55"/>
  <sheetViews>
    <sheetView workbookViewId="0">
      <selection activeCell="F54" sqref="F54"/>
    </sheetView>
  </sheetViews>
  <sheetFormatPr defaultRowHeight="14.5" x14ac:dyDescent="0.35"/>
  <cols>
    <col min="1" max="1" width="6.453125" bestFit="1" customWidth="1"/>
    <col min="2" max="2" width="7" bestFit="1" customWidth="1"/>
    <col min="3" max="4" width="11.81640625" bestFit="1" customWidth="1"/>
    <col min="5" max="5" width="10.453125" bestFit="1" customWidth="1"/>
    <col min="6" max="6" width="13.7265625" bestFit="1" customWidth="1"/>
    <col min="7" max="7" width="9.54296875" bestFit="1" customWidth="1"/>
    <col min="8" max="8" width="14" bestFit="1" customWidth="1"/>
    <col min="9" max="9" width="11.1796875" bestFit="1" customWidth="1"/>
    <col min="10" max="10" width="11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10000</v>
      </c>
      <c r="C2">
        <v>0.66428571428571426</v>
      </c>
      <c r="D2">
        <v>0.75</v>
      </c>
      <c r="E2">
        <v>8</v>
      </c>
      <c r="F2">
        <v>200</v>
      </c>
      <c r="G2">
        <v>20</v>
      </c>
      <c r="H2" t="b">
        <v>1</v>
      </c>
      <c r="I2" t="b">
        <v>1</v>
      </c>
      <c r="J2" s="1" t="s">
        <v>10</v>
      </c>
    </row>
    <row r="3" spans="1:10" x14ac:dyDescent="0.35">
      <c r="A3">
        <v>2</v>
      </c>
      <c r="B3">
        <v>10001</v>
      </c>
      <c r="C3">
        <v>0.65</v>
      </c>
      <c r="D3">
        <v>0.71666666666666667</v>
      </c>
      <c r="E3">
        <v>8</v>
      </c>
      <c r="F3">
        <v>200</v>
      </c>
      <c r="G3">
        <v>20</v>
      </c>
      <c r="H3" t="b">
        <v>1</v>
      </c>
      <c r="I3" t="b">
        <v>1</v>
      </c>
      <c r="J3" s="1" t="s">
        <v>10</v>
      </c>
    </row>
    <row r="4" spans="1:10" x14ac:dyDescent="0.35">
      <c r="A4">
        <v>3</v>
      </c>
      <c r="B4">
        <v>10002</v>
      </c>
      <c r="C4">
        <v>0.70714285714285718</v>
      </c>
      <c r="D4">
        <v>0.6333333333333333</v>
      </c>
      <c r="E4">
        <v>8</v>
      </c>
      <c r="F4">
        <v>200</v>
      </c>
      <c r="G4">
        <v>20</v>
      </c>
      <c r="H4" t="b">
        <v>1</v>
      </c>
      <c r="I4" t="b">
        <v>1</v>
      </c>
      <c r="J4" s="1" t="s">
        <v>10</v>
      </c>
    </row>
    <row r="5" spans="1:10" x14ac:dyDescent="0.35">
      <c r="A5">
        <v>4</v>
      </c>
      <c r="B5">
        <v>10003</v>
      </c>
      <c r="C5">
        <v>0.59285714285714286</v>
      </c>
      <c r="D5">
        <v>0.71666666666666667</v>
      </c>
      <c r="E5">
        <v>8</v>
      </c>
      <c r="F5">
        <v>200</v>
      </c>
      <c r="G5">
        <v>20</v>
      </c>
      <c r="H5" t="b">
        <v>1</v>
      </c>
      <c r="I5" t="b">
        <v>1</v>
      </c>
      <c r="J5" s="1" t="s">
        <v>10</v>
      </c>
    </row>
    <row r="6" spans="1:10" x14ac:dyDescent="0.35">
      <c r="A6">
        <v>5</v>
      </c>
      <c r="B6">
        <v>10004</v>
      </c>
      <c r="C6">
        <v>0.61428571428571432</v>
      </c>
      <c r="D6">
        <v>0.41666666666666669</v>
      </c>
      <c r="E6">
        <v>8</v>
      </c>
      <c r="F6">
        <v>200</v>
      </c>
      <c r="G6">
        <v>20</v>
      </c>
      <c r="H6" t="b">
        <v>1</v>
      </c>
      <c r="I6" t="b">
        <v>1</v>
      </c>
      <c r="J6" s="1" t="s">
        <v>10</v>
      </c>
    </row>
    <row r="7" spans="1:10" x14ac:dyDescent="0.35">
      <c r="A7">
        <v>6</v>
      </c>
      <c r="B7">
        <v>10005</v>
      </c>
      <c r="C7">
        <v>0.5714285714285714</v>
      </c>
      <c r="D7">
        <v>0.51666666666666672</v>
      </c>
      <c r="E7">
        <v>8</v>
      </c>
      <c r="F7">
        <v>200</v>
      </c>
      <c r="G7">
        <v>20</v>
      </c>
      <c r="H7" t="b">
        <v>1</v>
      </c>
      <c r="I7" t="b">
        <v>1</v>
      </c>
      <c r="J7" s="1" t="s">
        <v>10</v>
      </c>
    </row>
    <row r="8" spans="1:10" x14ac:dyDescent="0.35">
      <c r="A8">
        <v>7</v>
      </c>
      <c r="B8">
        <v>10006</v>
      </c>
      <c r="C8">
        <v>0.66428571428571426</v>
      </c>
      <c r="D8">
        <v>0.6166666666666667</v>
      </c>
      <c r="E8">
        <v>8</v>
      </c>
      <c r="F8">
        <v>200</v>
      </c>
      <c r="G8">
        <v>20</v>
      </c>
      <c r="H8" t="b">
        <v>1</v>
      </c>
      <c r="I8" t="b">
        <v>1</v>
      </c>
      <c r="J8" s="1" t="s">
        <v>10</v>
      </c>
    </row>
    <row r="9" spans="1:10" x14ac:dyDescent="0.35">
      <c r="A9">
        <v>8</v>
      </c>
      <c r="B9">
        <v>10007</v>
      </c>
      <c r="C9">
        <v>0.70714285714285718</v>
      </c>
      <c r="D9">
        <v>0.6166666666666667</v>
      </c>
      <c r="E9">
        <v>8</v>
      </c>
      <c r="F9">
        <v>200</v>
      </c>
      <c r="G9">
        <v>20</v>
      </c>
      <c r="H9" t="b">
        <v>1</v>
      </c>
      <c r="I9" t="b">
        <v>1</v>
      </c>
      <c r="J9" s="1" t="s">
        <v>10</v>
      </c>
    </row>
    <row r="10" spans="1:10" x14ac:dyDescent="0.35">
      <c r="A10">
        <v>9</v>
      </c>
      <c r="B10">
        <v>10008</v>
      </c>
      <c r="C10">
        <v>0.76428571428571423</v>
      </c>
      <c r="D10">
        <v>0.6166666666666667</v>
      </c>
      <c r="E10">
        <v>8</v>
      </c>
      <c r="F10">
        <v>200</v>
      </c>
      <c r="G10">
        <v>20</v>
      </c>
      <c r="H10" t="b">
        <v>1</v>
      </c>
      <c r="I10" t="b">
        <v>1</v>
      </c>
      <c r="J10" s="1" t="s">
        <v>10</v>
      </c>
    </row>
    <row r="11" spans="1:10" x14ac:dyDescent="0.35">
      <c r="A11">
        <v>10</v>
      </c>
      <c r="B11">
        <v>10009</v>
      </c>
      <c r="C11">
        <v>0.55000000000000004</v>
      </c>
      <c r="D11">
        <v>0.4</v>
      </c>
      <c r="E11">
        <v>8</v>
      </c>
      <c r="F11">
        <v>200</v>
      </c>
      <c r="G11">
        <v>20</v>
      </c>
      <c r="H11" t="b">
        <v>1</v>
      </c>
      <c r="I11" t="b">
        <v>1</v>
      </c>
      <c r="J11" s="1" t="s">
        <v>10</v>
      </c>
    </row>
    <row r="12" spans="1:10" x14ac:dyDescent="0.35">
      <c r="A12">
        <v>11</v>
      </c>
      <c r="B12">
        <v>10010</v>
      </c>
      <c r="C12">
        <v>0.54285714285714282</v>
      </c>
      <c r="D12">
        <v>0.51666666666666672</v>
      </c>
      <c r="E12">
        <v>8</v>
      </c>
      <c r="F12">
        <v>200</v>
      </c>
      <c r="G12">
        <v>20</v>
      </c>
      <c r="H12" t="b">
        <v>1</v>
      </c>
      <c r="I12" t="b">
        <v>1</v>
      </c>
      <c r="J12" s="1" t="s">
        <v>10</v>
      </c>
    </row>
    <row r="13" spans="1:10" x14ac:dyDescent="0.35">
      <c r="A13">
        <v>12</v>
      </c>
      <c r="B13">
        <v>10011</v>
      </c>
      <c r="C13">
        <v>0.6071428571428571</v>
      </c>
      <c r="D13">
        <v>0.55000000000000004</v>
      </c>
      <c r="E13">
        <v>8</v>
      </c>
      <c r="F13">
        <v>200</v>
      </c>
      <c r="G13">
        <v>20</v>
      </c>
      <c r="H13" t="b">
        <v>1</v>
      </c>
      <c r="I13" t="b">
        <v>1</v>
      </c>
      <c r="J13" s="1" t="s">
        <v>10</v>
      </c>
    </row>
    <row r="14" spans="1:10" x14ac:dyDescent="0.35">
      <c r="A14">
        <v>13</v>
      </c>
      <c r="B14">
        <v>10012</v>
      </c>
      <c r="C14">
        <v>0.65714285714285714</v>
      </c>
      <c r="D14">
        <v>0.55000000000000004</v>
      </c>
      <c r="E14">
        <v>8</v>
      </c>
      <c r="F14">
        <v>200</v>
      </c>
      <c r="G14">
        <v>20</v>
      </c>
      <c r="H14" t="b">
        <v>1</v>
      </c>
      <c r="I14" t="b">
        <v>1</v>
      </c>
      <c r="J14" s="1" t="s">
        <v>10</v>
      </c>
    </row>
    <row r="15" spans="1:10" x14ac:dyDescent="0.35">
      <c r="A15">
        <v>14</v>
      </c>
      <c r="B15">
        <v>10013</v>
      </c>
      <c r="C15">
        <v>0.50714285714285712</v>
      </c>
      <c r="D15">
        <v>0.51666666666666672</v>
      </c>
      <c r="E15">
        <v>8</v>
      </c>
      <c r="F15">
        <v>200</v>
      </c>
      <c r="G15">
        <v>20</v>
      </c>
      <c r="H15" t="b">
        <v>1</v>
      </c>
      <c r="I15" t="b">
        <v>1</v>
      </c>
      <c r="J15" s="1" t="s">
        <v>10</v>
      </c>
    </row>
    <row r="16" spans="1:10" x14ac:dyDescent="0.35">
      <c r="A16">
        <v>15</v>
      </c>
      <c r="B16">
        <v>10014</v>
      </c>
      <c r="C16">
        <v>0.76428571428571423</v>
      </c>
      <c r="D16">
        <v>0.8</v>
      </c>
      <c r="E16">
        <v>8</v>
      </c>
      <c r="F16">
        <v>200</v>
      </c>
      <c r="G16">
        <v>20</v>
      </c>
      <c r="H16" t="b">
        <v>1</v>
      </c>
      <c r="I16" t="b">
        <v>1</v>
      </c>
      <c r="J16" s="1" t="s">
        <v>10</v>
      </c>
    </row>
    <row r="17" spans="1:10" x14ac:dyDescent="0.35">
      <c r="A17">
        <v>16</v>
      </c>
      <c r="B17">
        <v>10015</v>
      </c>
      <c r="C17">
        <v>0.68571428571428572</v>
      </c>
      <c r="D17">
        <v>0.6333333333333333</v>
      </c>
      <c r="E17">
        <v>8</v>
      </c>
      <c r="F17">
        <v>200</v>
      </c>
      <c r="G17">
        <v>20</v>
      </c>
      <c r="H17" t="b">
        <v>1</v>
      </c>
      <c r="I17" t="b">
        <v>1</v>
      </c>
      <c r="J17" s="1" t="s">
        <v>10</v>
      </c>
    </row>
    <row r="18" spans="1:10" x14ac:dyDescent="0.35">
      <c r="A18">
        <v>17</v>
      </c>
      <c r="B18">
        <v>10016</v>
      </c>
      <c r="C18">
        <v>0.6785714285714286</v>
      </c>
      <c r="D18">
        <v>0.66666666666666663</v>
      </c>
      <c r="E18">
        <v>8</v>
      </c>
      <c r="F18">
        <v>200</v>
      </c>
      <c r="G18">
        <v>20</v>
      </c>
      <c r="H18" t="b">
        <v>1</v>
      </c>
      <c r="I18" t="b">
        <v>1</v>
      </c>
      <c r="J18" s="1" t="s">
        <v>10</v>
      </c>
    </row>
    <row r="19" spans="1:10" x14ac:dyDescent="0.35">
      <c r="A19">
        <v>18</v>
      </c>
      <c r="B19">
        <v>10017</v>
      </c>
      <c r="C19">
        <v>0.75</v>
      </c>
      <c r="D19">
        <v>0.85</v>
      </c>
      <c r="E19">
        <v>8</v>
      </c>
      <c r="F19">
        <v>200</v>
      </c>
      <c r="G19">
        <v>20</v>
      </c>
      <c r="H19" t="b">
        <v>1</v>
      </c>
      <c r="I19" t="b">
        <v>1</v>
      </c>
      <c r="J19" s="1" t="s">
        <v>10</v>
      </c>
    </row>
    <row r="20" spans="1:10" x14ac:dyDescent="0.35">
      <c r="A20">
        <v>19</v>
      </c>
      <c r="B20">
        <v>10018</v>
      </c>
      <c r="C20">
        <v>0.70714285714285718</v>
      </c>
      <c r="D20">
        <v>0.66666666666666663</v>
      </c>
      <c r="E20">
        <v>8</v>
      </c>
      <c r="F20">
        <v>200</v>
      </c>
      <c r="G20">
        <v>20</v>
      </c>
      <c r="H20" t="b">
        <v>1</v>
      </c>
      <c r="I20" t="b">
        <v>1</v>
      </c>
      <c r="J20" s="1" t="s">
        <v>10</v>
      </c>
    </row>
    <row r="21" spans="1:10" x14ac:dyDescent="0.35">
      <c r="A21">
        <v>20</v>
      </c>
      <c r="B21">
        <v>10019</v>
      </c>
      <c r="C21">
        <v>0.6785714285714286</v>
      </c>
      <c r="D21">
        <v>0.78333333333333333</v>
      </c>
      <c r="E21">
        <v>8</v>
      </c>
      <c r="F21">
        <v>200</v>
      </c>
      <c r="G21">
        <v>20</v>
      </c>
      <c r="H21" t="b">
        <v>1</v>
      </c>
      <c r="I21" t="b">
        <v>1</v>
      </c>
      <c r="J21" s="1" t="s">
        <v>10</v>
      </c>
    </row>
    <row r="22" spans="1:10" x14ac:dyDescent="0.35">
      <c r="A22">
        <v>21</v>
      </c>
      <c r="B22">
        <v>10020</v>
      </c>
      <c r="C22">
        <v>0.63571428571428568</v>
      </c>
      <c r="D22">
        <v>0.6166666666666667</v>
      </c>
      <c r="E22">
        <v>8</v>
      </c>
      <c r="F22">
        <v>200</v>
      </c>
      <c r="G22">
        <v>20</v>
      </c>
      <c r="H22" t="b">
        <v>1</v>
      </c>
      <c r="I22" t="b">
        <v>1</v>
      </c>
      <c r="J22" s="1" t="s">
        <v>10</v>
      </c>
    </row>
    <row r="23" spans="1:10" x14ac:dyDescent="0.35">
      <c r="A23">
        <v>22</v>
      </c>
      <c r="B23">
        <v>10021</v>
      </c>
      <c r="C23">
        <v>0.6428571428571429</v>
      </c>
      <c r="D23">
        <v>0.58333333333333337</v>
      </c>
      <c r="E23">
        <v>8</v>
      </c>
      <c r="F23">
        <v>200</v>
      </c>
      <c r="G23">
        <v>20</v>
      </c>
      <c r="H23" t="b">
        <v>1</v>
      </c>
      <c r="I23" t="b">
        <v>1</v>
      </c>
      <c r="J23" s="1" t="s">
        <v>10</v>
      </c>
    </row>
    <row r="24" spans="1:10" x14ac:dyDescent="0.35">
      <c r="A24">
        <v>23</v>
      </c>
      <c r="B24">
        <v>10022</v>
      </c>
      <c r="C24">
        <v>0.67142857142857137</v>
      </c>
      <c r="D24">
        <v>0.73333333333333328</v>
      </c>
      <c r="E24">
        <v>8</v>
      </c>
      <c r="F24">
        <v>200</v>
      </c>
      <c r="G24">
        <v>20</v>
      </c>
      <c r="H24" t="b">
        <v>1</v>
      </c>
      <c r="I24" t="b">
        <v>1</v>
      </c>
      <c r="J24" s="1" t="s">
        <v>10</v>
      </c>
    </row>
    <row r="25" spans="1:10" x14ac:dyDescent="0.35">
      <c r="A25">
        <v>24</v>
      </c>
      <c r="B25">
        <v>10023</v>
      </c>
      <c r="C25">
        <v>0.6071428571428571</v>
      </c>
      <c r="D25">
        <v>0.66666666666666663</v>
      </c>
      <c r="E25">
        <v>8</v>
      </c>
      <c r="F25">
        <v>200</v>
      </c>
      <c r="G25">
        <v>20</v>
      </c>
      <c r="H25" t="b">
        <v>1</v>
      </c>
      <c r="I25" t="b">
        <v>1</v>
      </c>
      <c r="J25" s="1" t="s">
        <v>10</v>
      </c>
    </row>
    <row r="26" spans="1:10" x14ac:dyDescent="0.35">
      <c r="A26">
        <v>25</v>
      </c>
      <c r="B26">
        <v>10024</v>
      </c>
      <c r="C26">
        <v>0.54285714285714282</v>
      </c>
      <c r="D26">
        <v>0.71666666666666667</v>
      </c>
      <c r="E26">
        <v>8</v>
      </c>
      <c r="F26">
        <v>200</v>
      </c>
      <c r="G26">
        <v>20</v>
      </c>
      <c r="H26" t="b">
        <v>1</v>
      </c>
      <c r="I26" t="b">
        <v>1</v>
      </c>
      <c r="J26" s="1" t="s">
        <v>10</v>
      </c>
    </row>
    <row r="27" spans="1:10" x14ac:dyDescent="0.35">
      <c r="A27">
        <v>26</v>
      </c>
      <c r="B27">
        <v>10025</v>
      </c>
      <c r="C27">
        <v>0.68571428571428572</v>
      </c>
      <c r="D27">
        <v>0.68333333333333335</v>
      </c>
      <c r="E27">
        <v>8</v>
      </c>
      <c r="F27">
        <v>200</v>
      </c>
      <c r="G27">
        <v>20</v>
      </c>
      <c r="H27" t="b">
        <v>1</v>
      </c>
      <c r="I27" t="b">
        <v>1</v>
      </c>
      <c r="J27" s="1" t="s">
        <v>10</v>
      </c>
    </row>
    <row r="28" spans="1:10" x14ac:dyDescent="0.35">
      <c r="A28">
        <v>27</v>
      </c>
      <c r="B28">
        <v>10026</v>
      </c>
      <c r="C28">
        <v>0.77857142857142858</v>
      </c>
      <c r="D28">
        <v>0.8666666666666667</v>
      </c>
      <c r="E28">
        <v>8</v>
      </c>
      <c r="F28">
        <v>200</v>
      </c>
      <c r="G28">
        <v>20</v>
      </c>
      <c r="H28" t="b">
        <v>1</v>
      </c>
      <c r="I28" t="b">
        <v>1</v>
      </c>
      <c r="J28" s="1" t="s">
        <v>10</v>
      </c>
    </row>
    <row r="29" spans="1:10" x14ac:dyDescent="0.35">
      <c r="A29">
        <v>28</v>
      </c>
      <c r="B29">
        <v>10027</v>
      </c>
      <c r="C29">
        <v>0.65</v>
      </c>
      <c r="D29">
        <v>0.6333333333333333</v>
      </c>
      <c r="E29">
        <v>8</v>
      </c>
      <c r="F29">
        <v>200</v>
      </c>
      <c r="G29">
        <v>20</v>
      </c>
      <c r="H29" t="b">
        <v>1</v>
      </c>
      <c r="I29" t="b">
        <v>1</v>
      </c>
      <c r="J29" s="1" t="s">
        <v>10</v>
      </c>
    </row>
    <row r="30" spans="1:10" x14ac:dyDescent="0.35">
      <c r="A30">
        <v>29</v>
      </c>
      <c r="B30">
        <v>10028</v>
      </c>
      <c r="C30">
        <v>0.7142857142857143</v>
      </c>
      <c r="D30">
        <v>0.65</v>
      </c>
      <c r="E30">
        <v>8</v>
      </c>
      <c r="F30">
        <v>200</v>
      </c>
      <c r="G30">
        <v>20</v>
      </c>
      <c r="H30" t="b">
        <v>1</v>
      </c>
      <c r="I30" t="b">
        <v>1</v>
      </c>
      <c r="J30" s="1" t="s">
        <v>10</v>
      </c>
    </row>
    <row r="31" spans="1:10" x14ac:dyDescent="0.35">
      <c r="A31">
        <v>30</v>
      </c>
      <c r="B31">
        <v>10029</v>
      </c>
      <c r="C31">
        <v>0.81428571428571428</v>
      </c>
      <c r="D31">
        <v>0.8</v>
      </c>
      <c r="E31">
        <v>8</v>
      </c>
      <c r="F31">
        <v>200</v>
      </c>
      <c r="G31">
        <v>20</v>
      </c>
      <c r="H31" t="b">
        <v>1</v>
      </c>
      <c r="I31" t="b">
        <v>1</v>
      </c>
      <c r="J31" s="1" t="s">
        <v>10</v>
      </c>
    </row>
    <row r="32" spans="1:10" x14ac:dyDescent="0.35">
      <c r="A32">
        <v>31</v>
      </c>
      <c r="B32">
        <v>10030</v>
      </c>
      <c r="C32">
        <v>0.67142857142857137</v>
      </c>
      <c r="D32">
        <v>0.6333333333333333</v>
      </c>
      <c r="E32">
        <v>8</v>
      </c>
      <c r="F32">
        <v>200</v>
      </c>
      <c r="G32">
        <v>20</v>
      </c>
      <c r="H32" t="b">
        <v>1</v>
      </c>
      <c r="I32" t="b">
        <v>1</v>
      </c>
      <c r="J32" s="1" t="s">
        <v>10</v>
      </c>
    </row>
    <row r="33" spans="1:10" x14ac:dyDescent="0.35">
      <c r="A33">
        <v>32</v>
      </c>
      <c r="B33">
        <v>10031</v>
      </c>
      <c r="C33">
        <v>0.72857142857142854</v>
      </c>
      <c r="D33">
        <v>0.6333333333333333</v>
      </c>
      <c r="E33">
        <v>8</v>
      </c>
      <c r="F33">
        <v>200</v>
      </c>
      <c r="G33">
        <v>20</v>
      </c>
      <c r="H33" t="b">
        <v>1</v>
      </c>
      <c r="I33" t="b">
        <v>1</v>
      </c>
      <c r="J33" s="1" t="s">
        <v>10</v>
      </c>
    </row>
    <row r="34" spans="1:10" x14ac:dyDescent="0.35">
      <c r="A34">
        <v>33</v>
      </c>
      <c r="B34">
        <v>10032</v>
      </c>
      <c r="C34">
        <v>0.55000000000000004</v>
      </c>
      <c r="D34">
        <v>0.68333333333333335</v>
      </c>
      <c r="E34">
        <v>8</v>
      </c>
      <c r="F34">
        <v>200</v>
      </c>
      <c r="G34">
        <v>20</v>
      </c>
      <c r="H34" t="b">
        <v>1</v>
      </c>
      <c r="I34" t="b">
        <v>1</v>
      </c>
      <c r="J34" s="1" t="s">
        <v>10</v>
      </c>
    </row>
    <row r="35" spans="1:10" x14ac:dyDescent="0.35">
      <c r="A35">
        <v>34</v>
      </c>
      <c r="B35">
        <v>10033</v>
      </c>
      <c r="C35">
        <v>0.6428571428571429</v>
      </c>
      <c r="D35">
        <v>0.78333333333333333</v>
      </c>
      <c r="E35">
        <v>8</v>
      </c>
      <c r="F35">
        <v>200</v>
      </c>
      <c r="G35">
        <v>20</v>
      </c>
      <c r="H35" t="b">
        <v>1</v>
      </c>
      <c r="I35" t="b">
        <v>1</v>
      </c>
      <c r="J35" s="1" t="s">
        <v>10</v>
      </c>
    </row>
    <row r="36" spans="1:10" x14ac:dyDescent="0.35">
      <c r="A36">
        <v>35</v>
      </c>
      <c r="B36">
        <v>10034</v>
      </c>
      <c r="C36">
        <v>0.59285714285714286</v>
      </c>
      <c r="D36">
        <v>0.58333333333333337</v>
      </c>
      <c r="E36">
        <v>8</v>
      </c>
      <c r="F36">
        <v>200</v>
      </c>
      <c r="G36">
        <v>20</v>
      </c>
      <c r="H36" t="b">
        <v>1</v>
      </c>
      <c r="I36" t="b">
        <v>1</v>
      </c>
      <c r="J36" s="1" t="s">
        <v>10</v>
      </c>
    </row>
    <row r="37" spans="1:10" x14ac:dyDescent="0.35">
      <c r="A37">
        <v>36</v>
      </c>
      <c r="B37">
        <v>10035</v>
      </c>
      <c r="C37">
        <v>0.72857142857142854</v>
      </c>
      <c r="D37">
        <v>0.6333333333333333</v>
      </c>
      <c r="E37">
        <v>8</v>
      </c>
      <c r="F37">
        <v>200</v>
      </c>
      <c r="G37">
        <v>20</v>
      </c>
      <c r="H37" t="b">
        <v>1</v>
      </c>
      <c r="I37" t="b">
        <v>1</v>
      </c>
      <c r="J37" s="1" t="s">
        <v>10</v>
      </c>
    </row>
    <row r="38" spans="1:10" x14ac:dyDescent="0.35">
      <c r="A38">
        <v>37</v>
      </c>
      <c r="B38">
        <v>10036</v>
      </c>
      <c r="C38">
        <v>0.6785714285714286</v>
      </c>
      <c r="D38">
        <v>0.75</v>
      </c>
      <c r="E38">
        <v>8</v>
      </c>
      <c r="F38">
        <v>200</v>
      </c>
      <c r="G38">
        <v>20</v>
      </c>
      <c r="H38" t="b">
        <v>1</v>
      </c>
      <c r="I38" t="b">
        <v>1</v>
      </c>
      <c r="J38" s="1" t="s">
        <v>10</v>
      </c>
    </row>
    <row r="39" spans="1:10" x14ac:dyDescent="0.35">
      <c r="A39">
        <v>38</v>
      </c>
      <c r="B39">
        <v>10037</v>
      </c>
      <c r="C39">
        <v>0.65</v>
      </c>
      <c r="D39">
        <v>0.7</v>
      </c>
      <c r="E39">
        <v>8</v>
      </c>
      <c r="F39">
        <v>200</v>
      </c>
      <c r="G39">
        <v>20</v>
      </c>
      <c r="H39" t="b">
        <v>1</v>
      </c>
      <c r="I39" t="b">
        <v>1</v>
      </c>
      <c r="J39" s="1" t="s">
        <v>10</v>
      </c>
    </row>
    <row r="40" spans="1:10" x14ac:dyDescent="0.35">
      <c r="A40">
        <v>39</v>
      </c>
      <c r="B40">
        <v>10038</v>
      </c>
      <c r="C40">
        <v>0.73571428571428577</v>
      </c>
      <c r="D40">
        <v>0.75</v>
      </c>
      <c r="E40">
        <v>8</v>
      </c>
      <c r="F40">
        <v>200</v>
      </c>
      <c r="G40">
        <v>20</v>
      </c>
      <c r="H40" t="b">
        <v>1</v>
      </c>
      <c r="I40" t="b">
        <v>1</v>
      </c>
      <c r="J40" s="1" t="s">
        <v>10</v>
      </c>
    </row>
    <row r="41" spans="1:10" x14ac:dyDescent="0.35">
      <c r="A41">
        <v>40</v>
      </c>
      <c r="B41">
        <v>10039</v>
      </c>
      <c r="C41">
        <v>0.52857142857142858</v>
      </c>
      <c r="D41">
        <v>0.46666666666666667</v>
      </c>
      <c r="E41">
        <v>8</v>
      </c>
      <c r="F41">
        <v>200</v>
      </c>
      <c r="G41">
        <v>20</v>
      </c>
      <c r="H41" t="b">
        <v>1</v>
      </c>
      <c r="I41" t="b">
        <v>1</v>
      </c>
      <c r="J41" s="1" t="s">
        <v>10</v>
      </c>
    </row>
    <row r="42" spans="1:10" x14ac:dyDescent="0.35">
      <c r="A42">
        <v>41</v>
      </c>
      <c r="B42">
        <v>10040</v>
      </c>
      <c r="C42">
        <v>0.57857142857142863</v>
      </c>
      <c r="D42">
        <v>0.6</v>
      </c>
      <c r="E42">
        <v>8</v>
      </c>
      <c r="F42">
        <v>200</v>
      </c>
      <c r="G42">
        <v>20</v>
      </c>
      <c r="H42" t="b">
        <v>1</v>
      </c>
      <c r="I42" t="b">
        <v>1</v>
      </c>
      <c r="J42" s="1" t="s">
        <v>10</v>
      </c>
    </row>
    <row r="43" spans="1:10" x14ac:dyDescent="0.35">
      <c r="A43">
        <v>42</v>
      </c>
      <c r="B43">
        <v>10041</v>
      </c>
      <c r="C43">
        <v>0.72142857142857142</v>
      </c>
      <c r="D43">
        <v>0.7</v>
      </c>
      <c r="E43">
        <v>8</v>
      </c>
      <c r="F43">
        <v>200</v>
      </c>
      <c r="G43">
        <v>20</v>
      </c>
      <c r="H43" t="b">
        <v>1</v>
      </c>
      <c r="I43" t="b">
        <v>1</v>
      </c>
      <c r="J43" s="1" t="s">
        <v>10</v>
      </c>
    </row>
    <row r="44" spans="1:10" x14ac:dyDescent="0.35">
      <c r="A44">
        <v>43</v>
      </c>
      <c r="B44">
        <v>10042</v>
      </c>
      <c r="C44">
        <v>0.39285714285714285</v>
      </c>
      <c r="D44">
        <v>0.48333333333333334</v>
      </c>
      <c r="E44">
        <v>8</v>
      </c>
      <c r="F44">
        <v>200</v>
      </c>
      <c r="G44">
        <v>20</v>
      </c>
      <c r="H44" t="b">
        <v>1</v>
      </c>
      <c r="I44" t="b">
        <v>1</v>
      </c>
      <c r="J44" s="1" t="s">
        <v>10</v>
      </c>
    </row>
    <row r="45" spans="1:10" x14ac:dyDescent="0.35">
      <c r="A45">
        <v>44</v>
      </c>
      <c r="B45">
        <v>10043</v>
      </c>
      <c r="C45">
        <v>0.81428571428571428</v>
      </c>
      <c r="D45">
        <v>0.85</v>
      </c>
      <c r="E45">
        <v>8</v>
      </c>
      <c r="F45">
        <v>200</v>
      </c>
      <c r="G45">
        <v>20</v>
      </c>
      <c r="H45" t="b">
        <v>1</v>
      </c>
      <c r="I45" t="b">
        <v>1</v>
      </c>
      <c r="J45" s="1" t="s">
        <v>10</v>
      </c>
    </row>
    <row r="46" spans="1:10" x14ac:dyDescent="0.35">
      <c r="A46">
        <v>45</v>
      </c>
      <c r="B46">
        <v>10044</v>
      </c>
      <c r="C46">
        <v>0.57857142857142863</v>
      </c>
      <c r="D46">
        <v>0.53333333333333333</v>
      </c>
      <c r="E46">
        <v>8</v>
      </c>
      <c r="F46">
        <v>200</v>
      </c>
      <c r="G46">
        <v>20</v>
      </c>
      <c r="H46" t="b">
        <v>1</v>
      </c>
      <c r="I46" t="b">
        <v>1</v>
      </c>
      <c r="J46" s="1" t="s">
        <v>10</v>
      </c>
    </row>
    <row r="47" spans="1:10" x14ac:dyDescent="0.35">
      <c r="A47">
        <v>46</v>
      </c>
      <c r="B47">
        <v>10045</v>
      </c>
      <c r="C47">
        <v>0.6785714285714286</v>
      </c>
      <c r="D47">
        <v>0.68333333333333335</v>
      </c>
      <c r="E47">
        <v>8</v>
      </c>
      <c r="F47">
        <v>200</v>
      </c>
      <c r="G47">
        <v>20</v>
      </c>
      <c r="H47" t="b">
        <v>1</v>
      </c>
      <c r="I47" t="b">
        <v>1</v>
      </c>
      <c r="J47" s="1" t="s">
        <v>10</v>
      </c>
    </row>
    <row r="48" spans="1:10" x14ac:dyDescent="0.35">
      <c r="A48">
        <v>47</v>
      </c>
      <c r="B48">
        <v>10046</v>
      </c>
      <c r="C48">
        <v>0.63571428571428568</v>
      </c>
      <c r="D48">
        <v>0.51666666666666672</v>
      </c>
      <c r="E48">
        <v>8</v>
      </c>
      <c r="F48">
        <v>200</v>
      </c>
      <c r="G48">
        <v>20</v>
      </c>
      <c r="H48" t="b">
        <v>1</v>
      </c>
      <c r="I48" t="b">
        <v>1</v>
      </c>
      <c r="J48" s="1" t="s">
        <v>10</v>
      </c>
    </row>
    <row r="49" spans="1:10" x14ac:dyDescent="0.35">
      <c r="A49">
        <v>48</v>
      </c>
      <c r="B49">
        <v>10047</v>
      </c>
      <c r="C49">
        <v>0.6428571428571429</v>
      </c>
      <c r="D49">
        <v>0.6</v>
      </c>
      <c r="E49">
        <v>8</v>
      </c>
      <c r="F49">
        <v>200</v>
      </c>
      <c r="G49">
        <v>20</v>
      </c>
      <c r="H49" t="b">
        <v>1</v>
      </c>
      <c r="I49" t="b">
        <v>1</v>
      </c>
      <c r="J49" s="1" t="s">
        <v>10</v>
      </c>
    </row>
    <row r="50" spans="1:10" x14ac:dyDescent="0.35">
      <c r="A50">
        <v>49</v>
      </c>
      <c r="B50">
        <v>10048</v>
      </c>
      <c r="C50">
        <v>0.65714285714285714</v>
      </c>
      <c r="D50">
        <v>0.6</v>
      </c>
      <c r="E50">
        <v>8</v>
      </c>
      <c r="F50">
        <v>200</v>
      </c>
      <c r="G50">
        <v>20</v>
      </c>
      <c r="H50" t="b">
        <v>1</v>
      </c>
      <c r="I50" t="b">
        <v>1</v>
      </c>
      <c r="J50" s="1" t="s">
        <v>10</v>
      </c>
    </row>
    <row r="51" spans="1:10" x14ac:dyDescent="0.35">
      <c r="A51">
        <v>50</v>
      </c>
      <c r="B51">
        <v>10049</v>
      </c>
      <c r="C51">
        <v>0.62857142857142856</v>
      </c>
      <c r="D51">
        <v>0.68333333333333335</v>
      </c>
      <c r="E51">
        <v>8</v>
      </c>
      <c r="F51">
        <v>200</v>
      </c>
      <c r="G51">
        <v>20</v>
      </c>
      <c r="H51" t="b">
        <v>1</v>
      </c>
      <c r="I51" t="b">
        <v>1</v>
      </c>
      <c r="J51" s="1" t="s">
        <v>10</v>
      </c>
    </row>
    <row r="52" spans="1:10" x14ac:dyDescent="0.35">
      <c r="C52">
        <f>AVERAGE(cobyla[train_acc])</f>
        <v>0.65285714285714258</v>
      </c>
      <c r="D52">
        <f>AVERAGE(cobyla[test_acc])</f>
        <v>0.64700000000000002</v>
      </c>
      <c r="J52" s="1"/>
    </row>
    <row r="53" spans="1:10" ht="15" thickBot="1" x14ac:dyDescent="0.4">
      <c r="C53">
        <f>_xlfn.STDEV.P(cobyla[train_acc])</f>
        <v>8.0660538362818709E-2</v>
      </c>
      <c r="D53">
        <f>_xlfn.STDEV.P(cobyla[test_acc])</f>
        <v>0.10706643835592022</v>
      </c>
    </row>
    <row r="54" spans="1:10" ht="15" thickTop="1" x14ac:dyDescent="0.35">
      <c r="C54" s="2">
        <f>AVERAGE(spsa[train_acc])</f>
        <v>0.64371428571428568</v>
      </c>
      <c r="D54" s="2">
        <f>AVERAGE(spsa[test_acc])</f>
        <v>0.63433333333333342</v>
      </c>
    </row>
    <row r="55" spans="1:10" x14ac:dyDescent="0.35">
      <c r="C55">
        <f>_xlfn.STDEV.P(spsa[train_acc])</f>
        <v>7.8084726354107931E-2</v>
      </c>
      <c r="D55">
        <f>_xlfn.STDEV.P(spsa[test_acc])</f>
        <v>0.10232899013584573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4386-68DB-4CFE-A477-EC842FD4D5E2}">
  <dimension ref="A1:J53"/>
  <sheetViews>
    <sheetView topLeftCell="A27" workbookViewId="0">
      <selection activeCell="C53" sqref="C53:D53"/>
    </sheetView>
  </sheetViews>
  <sheetFormatPr defaultRowHeight="14.5" x14ac:dyDescent="0.35"/>
  <cols>
    <col min="1" max="1" width="6.453125" bestFit="1" customWidth="1"/>
    <col min="2" max="2" width="7" bestFit="1" customWidth="1"/>
    <col min="3" max="4" width="11.81640625" bestFit="1" customWidth="1"/>
    <col min="5" max="5" width="10.453125" bestFit="1" customWidth="1"/>
    <col min="6" max="6" width="13.7265625" bestFit="1" customWidth="1"/>
    <col min="7" max="7" width="9.54296875" bestFit="1" customWidth="1"/>
    <col min="8" max="8" width="14" bestFit="1" customWidth="1"/>
    <col min="9" max="9" width="11.1796875" bestFit="1" customWidth="1"/>
    <col min="10" max="10" width="11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10000</v>
      </c>
      <c r="C2">
        <v>0.6785714285714286</v>
      </c>
      <c r="D2">
        <v>0.6333333333333333</v>
      </c>
      <c r="E2">
        <v>8</v>
      </c>
      <c r="F2">
        <v>200</v>
      </c>
      <c r="G2">
        <v>20</v>
      </c>
      <c r="H2" t="b">
        <v>1</v>
      </c>
      <c r="I2" t="b">
        <v>1</v>
      </c>
      <c r="J2" s="1" t="s">
        <v>10</v>
      </c>
    </row>
    <row r="3" spans="1:10" x14ac:dyDescent="0.35">
      <c r="A3">
        <v>2</v>
      </c>
      <c r="B3">
        <v>10001</v>
      </c>
      <c r="C3">
        <v>0.55714285714285716</v>
      </c>
      <c r="D3">
        <v>0.6</v>
      </c>
      <c r="E3">
        <v>8</v>
      </c>
      <c r="F3">
        <v>200</v>
      </c>
      <c r="G3">
        <v>20</v>
      </c>
      <c r="H3" t="b">
        <v>1</v>
      </c>
      <c r="I3" t="b">
        <v>1</v>
      </c>
      <c r="J3" s="1" t="s">
        <v>10</v>
      </c>
    </row>
    <row r="4" spans="1:10" x14ac:dyDescent="0.35">
      <c r="A4">
        <v>3</v>
      </c>
      <c r="B4">
        <v>10002</v>
      </c>
      <c r="C4">
        <v>0.70714285714285718</v>
      </c>
      <c r="D4">
        <v>0.6</v>
      </c>
      <c r="E4">
        <v>8</v>
      </c>
      <c r="F4">
        <v>200</v>
      </c>
      <c r="G4">
        <v>20</v>
      </c>
      <c r="H4" t="b">
        <v>1</v>
      </c>
      <c r="I4" t="b">
        <v>1</v>
      </c>
      <c r="J4" s="1" t="s">
        <v>10</v>
      </c>
    </row>
    <row r="5" spans="1:10" x14ac:dyDescent="0.35">
      <c r="A5">
        <v>4</v>
      </c>
      <c r="B5">
        <v>10003</v>
      </c>
      <c r="C5">
        <v>0.55714285714285716</v>
      </c>
      <c r="D5">
        <v>0.68333333333333335</v>
      </c>
      <c r="E5">
        <v>8</v>
      </c>
      <c r="F5">
        <v>200</v>
      </c>
      <c r="G5">
        <v>20</v>
      </c>
      <c r="H5" t="b">
        <v>1</v>
      </c>
      <c r="I5" t="b">
        <v>1</v>
      </c>
      <c r="J5" s="1" t="s">
        <v>10</v>
      </c>
    </row>
    <row r="6" spans="1:10" x14ac:dyDescent="0.35">
      <c r="A6">
        <v>5</v>
      </c>
      <c r="B6">
        <v>10004</v>
      </c>
      <c r="C6">
        <v>0.6</v>
      </c>
      <c r="D6">
        <v>0.43333333333333335</v>
      </c>
      <c r="E6">
        <v>8</v>
      </c>
      <c r="F6">
        <v>200</v>
      </c>
      <c r="G6">
        <v>20</v>
      </c>
      <c r="H6" t="b">
        <v>1</v>
      </c>
      <c r="I6" t="b">
        <v>1</v>
      </c>
      <c r="J6" s="1" t="s">
        <v>10</v>
      </c>
    </row>
    <row r="7" spans="1:10" x14ac:dyDescent="0.35">
      <c r="A7">
        <v>6</v>
      </c>
      <c r="B7">
        <v>10005</v>
      </c>
      <c r="C7">
        <v>0.55000000000000004</v>
      </c>
      <c r="D7">
        <v>0.58333333333333337</v>
      </c>
      <c r="E7">
        <v>8</v>
      </c>
      <c r="F7">
        <v>200</v>
      </c>
      <c r="G7">
        <v>20</v>
      </c>
      <c r="H7" t="b">
        <v>1</v>
      </c>
      <c r="I7" t="b">
        <v>1</v>
      </c>
      <c r="J7" s="1" t="s">
        <v>10</v>
      </c>
    </row>
    <row r="8" spans="1:10" x14ac:dyDescent="0.35">
      <c r="A8">
        <v>7</v>
      </c>
      <c r="B8">
        <v>10006</v>
      </c>
      <c r="C8">
        <v>0.55000000000000004</v>
      </c>
      <c r="D8">
        <v>0.58333333333333337</v>
      </c>
      <c r="E8">
        <v>8</v>
      </c>
      <c r="F8">
        <v>200</v>
      </c>
      <c r="G8">
        <v>20</v>
      </c>
      <c r="H8" t="b">
        <v>1</v>
      </c>
      <c r="I8" t="b">
        <v>1</v>
      </c>
      <c r="J8" s="1" t="s">
        <v>10</v>
      </c>
    </row>
    <row r="9" spans="1:10" x14ac:dyDescent="0.35">
      <c r="A9">
        <v>8</v>
      </c>
      <c r="B9">
        <v>10007</v>
      </c>
      <c r="C9">
        <v>0.6428571428571429</v>
      </c>
      <c r="D9">
        <v>0.6</v>
      </c>
      <c r="E9">
        <v>8</v>
      </c>
      <c r="F9">
        <v>200</v>
      </c>
      <c r="G9">
        <v>20</v>
      </c>
      <c r="H9" t="b">
        <v>1</v>
      </c>
      <c r="I9" t="b">
        <v>1</v>
      </c>
      <c r="J9" s="1" t="s">
        <v>10</v>
      </c>
    </row>
    <row r="10" spans="1:10" x14ac:dyDescent="0.35">
      <c r="A10">
        <v>9</v>
      </c>
      <c r="B10">
        <v>10008</v>
      </c>
      <c r="C10">
        <v>0.75</v>
      </c>
      <c r="D10">
        <v>0.7</v>
      </c>
      <c r="E10">
        <v>8</v>
      </c>
      <c r="F10">
        <v>200</v>
      </c>
      <c r="G10">
        <v>20</v>
      </c>
      <c r="H10" t="b">
        <v>1</v>
      </c>
      <c r="I10" t="b">
        <v>1</v>
      </c>
      <c r="J10" s="1" t="s">
        <v>10</v>
      </c>
    </row>
    <row r="11" spans="1:10" x14ac:dyDescent="0.35">
      <c r="A11">
        <v>10</v>
      </c>
      <c r="B11">
        <v>10009</v>
      </c>
      <c r="C11">
        <v>0.62857142857142856</v>
      </c>
      <c r="D11">
        <v>0.66666666666666663</v>
      </c>
      <c r="E11">
        <v>8</v>
      </c>
      <c r="F11">
        <v>200</v>
      </c>
      <c r="G11">
        <v>20</v>
      </c>
      <c r="H11" t="b">
        <v>1</v>
      </c>
      <c r="I11" t="b">
        <v>1</v>
      </c>
      <c r="J11" s="1" t="s">
        <v>10</v>
      </c>
    </row>
    <row r="12" spans="1:10" x14ac:dyDescent="0.35">
      <c r="A12">
        <v>11</v>
      </c>
      <c r="B12">
        <v>10010</v>
      </c>
      <c r="C12">
        <v>0.55714285714285716</v>
      </c>
      <c r="D12">
        <v>0.45</v>
      </c>
      <c r="E12">
        <v>8</v>
      </c>
      <c r="F12">
        <v>200</v>
      </c>
      <c r="G12">
        <v>20</v>
      </c>
      <c r="H12" t="b">
        <v>1</v>
      </c>
      <c r="I12" t="b">
        <v>1</v>
      </c>
      <c r="J12" s="1" t="s">
        <v>10</v>
      </c>
    </row>
    <row r="13" spans="1:10" x14ac:dyDescent="0.35">
      <c r="A13">
        <v>12</v>
      </c>
      <c r="B13">
        <v>10011</v>
      </c>
      <c r="C13">
        <v>0.57857142857142863</v>
      </c>
      <c r="D13">
        <v>0.53333333333333333</v>
      </c>
      <c r="E13">
        <v>8</v>
      </c>
      <c r="F13">
        <v>200</v>
      </c>
      <c r="G13">
        <v>20</v>
      </c>
      <c r="H13" t="b">
        <v>1</v>
      </c>
      <c r="I13" t="b">
        <v>1</v>
      </c>
      <c r="J13" s="1" t="s">
        <v>10</v>
      </c>
    </row>
    <row r="14" spans="1:10" x14ac:dyDescent="0.35">
      <c r="A14">
        <v>13</v>
      </c>
      <c r="B14">
        <v>10012</v>
      </c>
      <c r="C14">
        <v>0.62142857142857144</v>
      </c>
      <c r="D14">
        <v>0.55000000000000004</v>
      </c>
      <c r="E14">
        <v>8</v>
      </c>
      <c r="F14">
        <v>200</v>
      </c>
      <c r="G14">
        <v>20</v>
      </c>
      <c r="H14" t="b">
        <v>1</v>
      </c>
      <c r="I14" t="b">
        <v>1</v>
      </c>
      <c r="J14" s="1" t="s">
        <v>10</v>
      </c>
    </row>
    <row r="15" spans="1:10" x14ac:dyDescent="0.35">
      <c r="A15">
        <v>14</v>
      </c>
      <c r="B15">
        <v>10013</v>
      </c>
      <c r="C15">
        <v>0.49285714285714288</v>
      </c>
      <c r="D15">
        <v>0.43333333333333335</v>
      </c>
      <c r="E15">
        <v>8</v>
      </c>
      <c r="F15">
        <v>200</v>
      </c>
      <c r="G15">
        <v>20</v>
      </c>
      <c r="H15" t="b">
        <v>1</v>
      </c>
      <c r="I15" t="b">
        <v>1</v>
      </c>
      <c r="J15" s="1" t="s">
        <v>10</v>
      </c>
    </row>
    <row r="16" spans="1:10" x14ac:dyDescent="0.35">
      <c r="A16">
        <v>15</v>
      </c>
      <c r="B16">
        <v>10014</v>
      </c>
      <c r="C16">
        <v>0.77142857142857146</v>
      </c>
      <c r="D16">
        <v>0.85</v>
      </c>
      <c r="E16">
        <v>8</v>
      </c>
      <c r="F16">
        <v>200</v>
      </c>
      <c r="G16">
        <v>20</v>
      </c>
      <c r="H16" t="b">
        <v>1</v>
      </c>
      <c r="I16" t="b">
        <v>1</v>
      </c>
      <c r="J16" s="1" t="s">
        <v>10</v>
      </c>
    </row>
    <row r="17" spans="1:10" x14ac:dyDescent="0.35">
      <c r="A17">
        <v>16</v>
      </c>
      <c r="B17">
        <v>10015</v>
      </c>
      <c r="C17">
        <v>0.6785714285714286</v>
      </c>
      <c r="D17">
        <v>0.6166666666666667</v>
      </c>
      <c r="E17">
        <v>8</v>
      </c>
      <c r="F17">
        <v>200</v>
      </c>
      <c r="G17">
        <v>20</v>
      </c>
      <c r="H17" t="b">
        <v>1</v>
      </c>
      <c r="I17" t="b">
        <v>1</v>
      </c>
      <c r="J17" s="1" t="s">
        <v>10</v>
      </c>
    </row>
    <row r="18" spans="1:10" x14ac:dyDescent="0.35">
      <c r="A18">
        <v>17</v>
      </c>
      <c r="B18">
        <v>10016</v>
      </c>
      <c r="C18">
        <v>0.65</v>
      </c>
      <c r="D18">
        <v>0.53333333333333333</v>
      </c>
      <c r="E18">
        <v>8</v>
      </c>
      <c r="F18">
        <v>200</v>
      </c>
      <c r="G18">
        <v>20</v>
      </c>
      <c r="H18" t="b">
        <v>1</v>
      </c>
      <c r="I18" t="b">
        <v>1</v>
      </c>
      <c r="J18" s="1" t="s">
        <v>10</v>
      </c>
    </row>
    <row r="19" spans="1:10" x14ac:dyDescent="0.35">
      <c r="A19">
        <v>18</v>
      </c>
      <c r="B19">
        <v>10017</v>
      </c>
      <c r="C19">
        <v>0.76428571428571423</v>
      </c>
      <c r="D19">
        <v>0.81666666666666665</v>
      </c>
      <c r="E19">
        <v>8</v>
      </c>
      <c r="F19">
        <v>200</v>
      </c>
      <c r="G19">
        <v>20</v>
      </c>
      <c r="H19" t="b">
        <v>1</v>
      </c>
      <c r="I19" t="b">
        <v>1</v>
      </c>
      <c r="J19" s="1" t="s">
        <v>10</v>
      </c>
    </row>
    <row r="20" spans="1:10" x14ac:dyDescent="0.35">
      <c r="A20">
        <v>19</v>
      </c>
      <c r="B20">
        <v>10018</v>
      </c>
      <c r="C20">
        <v>0.74285714285714288</v>
      </c>
      <c r="D20">
        <v>0.6333333333333333</v>
      </c>
      <c r="E20">
        <v>8</v>
      </c>
      <c r="F20">
        <v>200</v>
      </c>
      <c r="G20">
        <v>20</v>
      </c>
      <c r="H20" t="b">
        <v>1</v>
      </c>
      <c r="I20" t="b">
        <v>1</v>
      </c>
      <c r="J20" s="1" t="s">
        <v>10</v>
      </c>
    </row>
    <row r="21" spans="1:10" x14ac:dyDescent="0.35">
      <c r="A21">
        <v>20</v>
      </c>
      <c r="B21">
        <v>10019</v>
      </c>
      <c r="C21">
        <v>0.59285714285714286</v>
      </c>
      <c r="D21">
        <v>0.68333333333333335</v>
      </c>
      <c r="E21">
        <v>8</v>
      </c>
      <c r="F21">
        <v>200</v>
      </c>
      <c r="G21">
        <v>20</v>
      </c>
      <c r="H21" t="b">
        <v>1</v>
      </c>
      <c r="I21" t="b">
        <v>1</v>
      </c>
      <c r="J21" s="1" t="s">
        <v>10</v>
      </c>
    </row>
    <row r="22" spans="1:10" x14ac:dyDescent="0.35">
      <c r="A22">
        <v>21</v>
      </c>
      <c r="B22">
        <v>10020</v>
      </c>
      <c r="C22">
        <v>0.59285714285714286</v>
      </c>
      <c r="D22">
        <v>0.6166666666666667</v>
      </c>
      <c r="E22">
        <v>8</v>
      </c>
      <c r="F22">
        <v>200</v>
      </c>
      <c r="G22">
        <v>20</v>
      </c>
      <c r="H22" t="b">
        <v>1</v>
      </c>
      <c r="I22" t="b">
        <v>1</v>
      </c>
      <c r="J22" s="1" t="s">
        <v>10</v>
      </c>
    </row>
    <row r="23" spans="1:10" x14ac:dyDescent="0.35">
      <c r="A23">
        <v>22</v>
      </c>
      <c r="B23">
        <v>10021</v>
      </c>
      <c r="C23">
        <v>0.6</v>
      </c>
      <c r="D23">
        <v>0.51666666666666672</v>
      </c>
      <c r="E23">
        <v>8</v>
      </c>
      <c r="F23">
        <v>200</v>
      </c>
      <c r="G23">
        <v>20</v>
      </c>
      <c r="H23" t="b">
        <v>1</v>
      </c>
      <c r="I23" t="b">
        <v>1</v>
      </c>
      <c r="J23" s="1" t="s">
        <v>10</v>
      </c>
    </row>
    <row r="24" spans="1:10" x14ac:dyDescent="0.35">
      <c r="A24">
        <v>23</v>
      </c>
      <c r="B24">
        <v>10022</v>
      </c>
      <c r="C24">
        <v>0.6428571428571429</v>
      </c>
      <c r="D24">
        <v>0.66666666666666663</v>
      </c>
      <c r="E24">
        <v>8</v>
      </c>
      <c r="F24">
        <v>200</v>
      </c>
      <c r="G24">
        <v>20</v>
      </c>
      <c r="H24" t="b">
        <v>1</v>
      </c>
      <c r="I24" t="b">
        <v>1</v>
      </c>
      <c r="J24" s="1" t="s">
        <v>10</v>
      </c>
    </row>
    <row r="25" spans="1:10" x14ac:dyDescent="0.35">
      <c r="A25">
        <v>24</v>
      </c>
      <c r="B25">
        <v>10023</v>
      </c>
      <c r="C25">
        <v>0.6428571428571429</v>
      </c>
      <c r="D25">
        <v>0.6166666666666667</v>
      </c>
      <c r="E25">
        <v>8</v>
      </c>
      <c r="F25">
        <v>200</v>
      </c>
      <c r="G25">
        <v>20</v>
      </c>
      <c r="H25" t="b">
        <v>1</v>
      </c>
      <c r="I25" t="b">
        <v>1</v>
      </c>
      <c r="J25" s="1" t="s">
        <v>10</v>
      </c>
    </row>
    <row r="26" spans="1:10" x14ac:dyDescent="0.35">
      <c r="A26">
        <v>25</v>
      </c>
      <c r="B26">
        <v>10024</v>
      </c>
      <c r="C26">
        <v>0.61428571428571432</v>
      </c>
      <c r="D26">
        <v>0.7</v>
      </c>
      <c r="E26">
        <v>8</v>
      </c>
      <c r="F26">
        <v>200</v>
      </c>
      <c r="G26">
        <v>20</v>
      </c>
      <c r="H26" t="b">
        <v>1</v>
      </c>
      <c r="I26" t="b">
        <v>1</v>
      </c>
      <c r="J26" s="1" t="s">
        <v>10</v>
      </c>
    </row>
    <row r="27" spans="1:10" x14ac:dyDescent="0.35">
      <c r="A27">
        <v>26</v>
      </c>
      <c r="B27">
        <v>10025</v>
      </c>
      <c r="C27">
        <v>0.65714285714285714</v>
      </c>
      <c r="D27">
        <v>0.6</v>
      </c>
      <c r="E27">
        <v>8</v>
      </c>
      <c r="F27">
        <v>200</v>
      </c>
      <c r="G27">
        <v>20</v>
      </c>
      <c r="H27" t="b">
        <v>1</v>
      </c>
      <c r="I27" t="b">
        <v>1</v>
      </c>
      <c r="J27" s="1" t="s">
        <v>10</v>
      </c>
    </row>
    <row r="28" spans="1:10" x14ac:dyDescent="0.35">
      <c r="A28">
        <v>27</v>
      </c>
      <c r="B28">
        <v>10026</v>
      </c>
      <c r="C28">
        <v>0.79285714285714282</v>
      </c>
      <c r="D28">
        <v>0.8666666666666667</v>
      </c>
      <c r="E28">
        <v>8</v>
      </c>
      <c r="F28">
        <v>200</v>
      </c>
      <c r="G28">
        <v>20</v>
      </c>
      <c r="H28" t="b">
        <v>1</v>
      </c>
      <c r="I28" t="b">
        <v>1</v>
      </c>
      <c r="J28" s="1" t="s">
        <v>10</v>
      </c>
    </row>
    <row r="29" spans="1:10" x14ac:dyDescent="0.35">
      <c r="A29">
        <v>28</v>
      </c>
      <c r="B29">
        <v>10027</v>
      </c>
      <c r="C29">
        <v>0.67142857142857137</v>
      </c>
      <c r="D29">
        <v>0.6</v>
      </c>
      <c r="E29">
        <v>8</v>
      </c>
      <c r="F29">
        <v>200</v>
      </c>
      <c r="G29">
        <v>20</v>
      </c>
      <c r="H29" t="b">
        <v>1</v>
      </c>
      <c r="I29" t="b">
        <v>1</v>
      </c>
      <c r="J29" s="1" t="s">
        <v>10</v>
      </c>
    </row>
    <row r="30" spans="1:10" x14ac:dyDescent="0.35">
      <c r="A30">
        <v>29</v>
      </c>
      <c r="B30">
        <v>10028</v>
      </c>
      <c r="C30">
        <v>0.62142857142857144</v>
      </c>
      <c r="D30">
        <v>0.73333333333333328</v>
      </c>
      <c r="E30">
        <v>8</v>
      </c>
      <c r="F30">
        <v>200</v>
      </c>
      <c r="G30">
        <v>20</v>
      </c>
      <c r="H30" t="b">
        <v>1</v>
      </c>
      <c r="I30" t="b">
        <v>1</v>
      </c>
      <c r="J30" s="1" t="s">
        <v>10</v>
      </c>
    </row>
    <row r="31" spans="1:10" x14ac:dyDescent="0.35">
      <c r="A31">
        <v>30</v>
      </c>
      <c r="B31">
        <v>10029</v>
      </c>
      <c r="C31">
        <v>0.7857142857142857</v>
      </c>
      <c r="D31">
        <v>0.75</v>
      </c>
      <c r="E31">
        <v>8</v>
      </c>
      <c r="F31">
        <v>200</v>
      </c>
      <c r="G31">
        <v>20</v>
      </c>
      <c r="H31" t="b">
        <v>1</v>
      </c>
      <c r="I31" t="b">
        <v>1</v>
      </c>
      <c r="J31" s="1" t="s">
        <v>10</v>
      </c>
    </row>
    <row r="32" spans="1:10" x14ac:dyDescent="0.35">
      <c r="A32">
        <v>31</v>
      </c>
      <c r="B32">
        <v>10030</v>
      </c>
      <c r="C32">
        <v>0.6</v>
      </c>
      <c r="D32">
        <v>0.6166666666666667</v>
      </c>
      <c r="E32">
        <v>8</v>
      </c>
      <c r="F32">
        <v>200</v>
      </c>
      <c r="G32">
        <v>20</v>
      </c>
      <c r="H32" t="b">
        <v>1</v>
      </c>
      <c r="I32" t="b">
        <v>1</v>
      </c>
      <c r="J32" s="1" t="s">
        <v>10</v>
      </c>
    </row>
    <row r="33" spans="1:10" x14ac:dyDescent="0.35">
      <c r="A33">
        <v>32</v>
      </c>
      <c r="B33">
        <v>10031</v>
      </c>
      <c r="C33">
        <v>0.72857142857142854</v>
      </c>
      <c r="D33">
        <v>0.6333333333333333</v>
      </c>
      <c r="E33">
        <v>8</v>
      </c>
      <c r="F33">
        <v>200</v>
      </c>
      <c r="G33">
        <v>20</v>
      </c>
      <c r="H33" t="b">
        <v>1</v>
      </c>
      <c r="I33" t="b">
        <v>1</v>
      </c>
      <c r="J33" s="1" t="s">
        <v>10</v>
      </c>
    </row>
    <row r="34" spans="1:10" x14ac:dyDescent="0.35">
      <c r="A34">
        <v>33</v>
      </c>
      <c r="B34">
        <v>10032</v>
      </c>
      <c r="C34">
        <v>0.55714285714285716</v>
      </c>
      <c r="D34">
        <v>0.65</v>
      </c>
      <c r="E34">
        <v>8</v>
      </c>
      <c r="F34">
        <v>200</v>
      </c>
      <c r="G34">
        <v>20</v>
      </c>
      <c r="H34" t="b">
        <v>1</v>
      </c>
      <c r="I34" t="b">
        <v>1</v>
      </c>
      <c r="J34" s="1" t="s">
        <v>10</v>
      </c>
    </row>
    <row r="35" spans="1:10" x14ac:dyDescent="0.35">
      <c r="A35">
        <v>34</v>
      </c>
      <c r="B35">
        <v>10033</v>
      </c>
      <c r="C35">
        <v>0.61428571428571432</v>
      </c>
      <c r="D35">
        <v>0.7</v>
      </c>
      <c r="E35">
        <v>8</v>
      </c>
      <c r="F35">
        <v>200</v>
      </c>
      <c r="G35">
        <v>20</v>
      </c>
      <c r="H35" t="b">
        <v>1</v>
      </c>
      <c r="I35" t="b">
        <v>1</v>
      </c>
      <c r="J35" s="1" t="s">
        <v>10</v>
      </c>
    </row>
    <row r="36" spans="1:10" x14ac:dyDescent="0.35">
      <c r="A36">
        <v>35</v>
      </c>
      <c r="B36">
        <v>10034</v>
      </c>
      <c r="C36">
        <v>0.57857142857142863</v>
      </c>
      <c r="D36">
        <v>0.55000000000000004</v>
      </c>
      <c r="E36">
        <v>8</v>
      </c>
      <c r="F36">
        <v>200</v>
      </c>
      <c r="G36">
        <v>20</v>
      </c>
      <c r="H36" t="b">
        <v>1</v>
      </c>
      <c r="I36" t="b">
        <v>1</v>
      </c>
      <c r="J36" s="1" t="s">
        <v>10</v>
      </c>
    </row>
    <row r="37" spans="1:10" x14ac:dyDescent="0.35">
      <c r="A37">
        <v>36</v>
      </c>
      <c r="B37">
        <v>10035</v>
      </c>
      <c r="C37">
        <v>0.68571428571428572</v>
      </c>
      <c r="D37">
        <v>0.66666666666666663</v>
      </c>
      <c r="E37">
        <v>8</v>
      </c>
      <c r="F37">
        <v>200</v>
      </c>
      <c r="G37">
        <v>20</v>
      </c>
      <c r="H37" t="b">
        <v>1</v>
      </c>
      <c r="I37" t="b">
        <v>1</v>
      </c>
      <c r="J37" s="1" t="s">
        <v>10</v>
      </c>
    </row>
    <row r="38" spans="1:10" x14ac:dyDescent="0.35">
      <c r="A38">
        <v>37</v>
      </c>
      <c r="B38">
        <v>10036</v>
      </c>
      <c r="C38">
        <v>0.68571428571428572</v>
      </c>
      <c r="D38">
        <v>0.76666666666666672</v>
      </c>
      <c r="E38">
        <v>8</v>
      </c>
      <c r="F38">
        <v>200</v>
      </c>
      <c r="G38">
        <v>20</v>
      </c>
      <c r="H38" t="b">
        <v>1</v>
      </c>
      <c r="I38" t="b">
        <v>1</v>
      </c>
      <c r="J38" s="1" t="s">
        <v>10</v>
      </c>
    </row>
    <row r="39" spans="1:10" x14ac:dyDescent="0.35">
      <c r="A39">
        <v>38</v>
      </c>
      <c r="B39">
        <v>10037</v>
      </c>
      <c r="C39">
        <v>0.65</v>
      </c>
      <c r="D39">
        <v>0.75</v>
      </c>
      <c r="E39">
        <v>8</v>
      </c>
      <c r="F39">
        <v>200</v>
      </c>
      <c r="G39">
        <v>20</v>
      </c>
      <c r="H39" t="b">
        <v>1</v>
      </c>
      <c r="I39" t="b">
        <v>1</v>
      </c>
      <c r="J39" s="1" t="s">
        <v>10</v>
      </c>
    </row>
    <row r="40" spans="1:10" x14ac:dyDescent="0.35">
      <c r="A40">
        <v>39</v>
      </c>
      <c r="B40">
        <v>10038</v>
      </c>
      <c r="C40">
        <v>0.73571428571428577</v>
      </c>
      <c r="D40">
        <v>0.75</v>
      </c>
      <c r="E40">
        <v>8</v>
      </c>
      <c r="F40">
        <v>200</v>
      </c>
      <c r="G40">
        <v>20</v>
      </c>
      <c r="H40" t="b">
        <v>1</v>
      </c>
      <c r="I40" t="b">
        <v>1</v>
      </c>
      <c r="J40" s="1" t="s">
        <v>10</v>
      </c>
    </row>
    <row r="41" spans="1:10" x14ac:dyDescent="0.35">
      <c r="A41">
        <v>40</v>
      </c>
      <c r="B41">
        <v>10039</v>
      </c>
      <c r="C41">
        <v>0.54285714285714282</v>
      </c>
      <c r="D41">
        <v>0.53333333333333333</v>
      </c>
      <c r="E41">
        <v>8</v>
      </c>
      <c r="F41">
        <v>200</v>
      </c>
      <c r="G41">
        <v>20</v>
      </c>
      <c r="H41" t="b">
        <v>1</v>
      </c>
      <c r="I41" t="b">
        <v>1</v>
      </c>
      <c r="J41" s="1" t="s">
        <v>10</v>
      </c>
    </row>
    <row r="42" spans="1:10" x14ac:dyDescent="0.35">
      <c r="A42">
        <v>41</v>
      </c>
      <c r="B42">
        <v>10040</v>
      </c>
      <c r="C42">
        <v>0.6428571428571429</v>
      </c>
      <c r="D42">
        <v>0.6333333333333333</v>
      </c>
      <c r="E42">
        <v>8</v>
      </c>
      <c r="F42">
        <v>200</v>
      </c>
      <c r="G42">
        <v>20</v>
      </c>
      <c r="H42" t="b">
        <v>1</v>
      </c>
      <c r="I42" t="b">
        <v>1</v>
      </c>
      <c r="J42" s="1" t="s">
        <v>10</v>
      </c>
    </row>
    <row r="43" spans="1:10" x14ac:dyDescent="0.35">
      <c r="A43">
        <v>42</v>
      </c>
      <c r="B43">
        <v>10041</v>
      </c>
      <c r="C43">
        <v>0.68571428571428572</v>
      </c>
      <c r="D43">
        <v>0.73333333333333328</v>
      </c>
      <c r="E43">
        <v>8</v>
      </c>
      <c r="F43">
        <v>200</v>
      </c>
      <c r="G43">
        <v>20</v>
      </c>
      <c r="H43" t="b">
        <v>1</v>
      </c>
      <c r="I43" t="b">
        <v>1</v>
      </c>
      <c r="J43" s="1" t="s">
        <v>10</v>
      </c>
    </row>
    <row r="44" spans="1:10" x14ac:dyDescent="0.35">
      <c r="A44">
        <v>43</v>
      </c>
      <c r="B44">
        <v>10042</v>
      </c>
      <c r="C44">
        <v>0.42857142857142855</v>
      </c>
      <c r="D44">
        <v>0.43333333333333335</v>
      </c>
      <c r="E44">
        <v>8</v>
      </c>
      <c r="F44">
        <v>200</v>
      </c>
      <c r="G44">
        <v>20</v>
      </c>
      <c r="H44" t="b">
        <v>1</v>
      </c>
      <c r="I44" t="b">
        <v>1</v>
      </c>
      <c r="J44" s="1" t="s">
        <v>10</v>
      </c>
    </row>
    <row r="45" spans="1:10" x14ac:dyDescent="0.35">
      <c r="A45">
        <v>44</v>
      </c>
      <c r="B45">
        <v>10043</v>
      </c>
      <c r="C45">
        <v>0.8</v>
      </c>
      <c r="D45">
        <v>0.83333333333333337</v>
      </c>
      <c r="E45">
        <v>8</v>
      </c>
      <c r="F45">
        <v>200</v>
      </c>
      <c r="G45">
        <v>20</v>
      </c>
      <c r="H45" t="b">
        <v>1</v>
      </c>
      <c r="I45" t="b">
        <v>1</v>
      </c>
      <c r="J45" s="1" t="s">
        <v>10</v>
      </c>
    </row>
    <row r="46" spans="1:10" x14ac:dyDescent="0.35">
      <c r="A46">
        <v>45</v>
      </c>
      <c r="B46">
        <v>10044</v>
      </c>
      <c r="C46">
        <v>0.61428571428571432</v>
      </c>
      <c r="D46">
        <v>0.6166666666666667</v>
      </c>
      <c r="E46">
        <v>8</v>
      </c>
      <c r="F46">
        <v>200</v>
      </c>
      <c r="G46">
        <v>20</v>
      </c>
      <c r="H46" t="b">
        <v>1</v>
      </c>
      <c r="I46" t="b">
        <v>1</v>
      </c>
      <c r="J46" s="1" t="s">
        <v>10</v>
      </c>
    </row>
    <row r="47" spans="1:10" x14ac:dyDescent="0.35">
      <c r="A47">
        <v>46</v>
      </c>
      <c r="B47">
        <v>10045</v>
      </c>
      <c r="C47">
        <v>0.70714285714285718</v>
      </c>
      <c r="D47">
        <v>0.66666666666666663</v>
      </c>
      <c r="E47">
        <v>8</v>
      </c>
      <c r="F47">
        <v>200</v>
      </c>
      <c r="G47">
        <v>20</v>
      </c>
      <c r="H47" t="b">
        <v>1</v>
      </c>
      <c r="I47" t="b">
        <v>1</v>
      </c>
      <c r="J47" s="1" t="s">
        <v>10</v>
      </c>
    </row>
    <row r="48" spans="1:10" x14ac:dyDescent="0.35">
      <c r="A48">
        <v>47</v>
      </c>
      <c r="B48">
        <v>10046</v>
      </c>
      <c r="C48">
        <v>0.65</v>
      </c>
      <c r="D48">
        <v>0.53333333333333333</v>
      </c>
      <c r="E48">
        <v>8</v>
      </c>
      <c r="F48">
        <v>200</v>
      </c>
      <c r="G48">
        <v>20</v>
      </c>
      <c r="H48" t="b">
        <v>1</v>
      </c>
      <c r="I48" t="b">
        <v>1</v>
      </c>
      <c r="J48" s="1" t="s">
        <v>10</v>
      </c>
    </row>
    <row r="49" spans="1:10" x14ac:dyDescent="0.35">
      <c r="A49">
        <v>48</v>
      </c>
      <c r="B49">
        <v>10047</v>
      </c>
      <c r="C49">
        <v>0.65714285714285714</v>
      </c>
      <c r="D49">
        <v>0.51666666666666672</v>
      </c>
      <c r="E49">
        <v>8</v>
      </c>
      <c r="F49">
        <v>200</v>
      </c>
      <c r="G49">
        <v>20</v>
      </c>
      <c r="H49" t="b">
        <v>1</v>
      </c>
      <c r="I49" t="b">
        <v>1</v>
      </c>
      <c r="J49" s="1" t="s">
        <v>10</v>
      </c>
    </row>
    <row r="50" spans="1:10" x14ac:dyDescent="0.35">
      <c r="A50">
        <v>49</v>
      </c>
      <c r="B50">
        <v>10048</v>
      </c>
      <c r="C50">
        <v>0.7</v>
      </c>
      <c r="D50">
        <v>0.6333333333333333</v>
      </c>
      <c r="E50">
        <v>8</v>
      </c>
      <c r="F50">
        <v>200</v>
      </c>
      <c r="G50">
        <v>20</v>
      </c>
      <c r="H50" t="b">
        <v>1</v>
      </c>
      <c r="I50" t="b">
        <v>1</v>
      </c>
      <c r="J50" s="1" t="s">
        <v>10</v>
      </c>
    </row>
    <row r="51" spans="1:10" x14ac:dyDescent="0.35">
      <c r="A51">
        <v>50</v>
      </c>
      <c r="B51">
        <v>10049</v>
      </c>
      <c r="C51">
        <v>0.62857142857142856</v>
      </c>
      <c r="D51">
        <v>0.65</v>
      </c>
      <c r="E51">
        <v>8</v>
      </c>
      <c r="F51">
        <v>200</v>
      </c>
      <c r="G51">
        <v>20</v>
      </c>
      <c r="H51" t="b">
        <v>1</v>
      </c>
      <c r="I51" t="b">
        <v>1</v>
      </c>
      <c r="J51" s="1" t="s">
        <v>10</v>
      </c>
    </row>
    <row r="52" spans="1:10" x14ac:dyDescent="0.35">
      <c r="C52">
        <f>AVERAGE(spsa[train_acc])</f>
        <v>0.64371428571428568</v>
      </c>
      <c r="D52">
        <f>AVERAGE(spsa[test_acc])</f>
        <v>0.63433333333333342</v>
      </c>
      <c r="J52" s="1"/>
    </row>
    <row r="53" spans="1:10" x14ac:dyDescent="0.35">
      <c r="C53">
        <f>_xlfn.STDEV.P(spsa[train_acc])</f>
        <v>7.8084726354107931E-2</v>
      </c>
      <c r="D53">
        <f>_xlfn.STDEV.P(spsa[test_acc])</f>
        <v>0.10232899013584573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9D69C4-4327-45CA-BED2-6B4A297102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cobyla</vt:lpstr>
      <vt:lpstr>spsa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Kornél Kemecsei</dc:creator>
  <cp:lastModifiedBy>Kornél Kemecsei</cp:lastModifiedBy>
  <dcterms:created xsi:type="dcterms:W3CDTF">2015-06-05T18:17:20Z</dcterms:created>
  <dcterms:modified xsi:type="dcterms:W3CDTF">2025-10-05T15:46:41Z</dcterms:modified>
</cp:coreProperties>
</file>